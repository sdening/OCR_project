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8" codeName="{E5D1E7B1-6628-F0F0-D09B-76B25B5F3CD3}"/>
  <workbookPr date1904="1" codeName="DieseArbeitsmappe"/>
  <mc:AlternateContent xmlns:mc="http://schemas.openxmlformats.org/markup-compatibility/2006">
    <mc:Choice Requires="x15">
      <x15ac:absPath xmlns:x15ac="http://schemas.microsoft.com/office/spreadsheetml/2010/11/ac" url="/Users/sandradening/Desktop/OCR/alte_Excel/"/>
    </mc:Choice>
  </mc:AlternateContent>
  <xr:revisionPtr revIDLastSave="0" documentId="13_ncr:1_{E227B5FD-FEF3-4342-B270-C2334BAA83C8}" xr6:coauthVersionLast="47" xr6:coauthVersionMax="47" xr10:uidLastSave="{00000000-0000-0000-0000-000000000000}"/>
  <bookViews>
    <workbookView xWindow="0" yWindow="0" windowWidth="28800" windowHeight="18000" tabRatio="601" activeTab="1" xr2:uid="{00000000-000D-0000-FFFF-FFFF00000000}"/>
  </bookViews>
  <sheets>
    <sheet name="Template" sheetId="9" r:id="rId1"/>
    <sheet name="01" sheetId="77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" i="777" l="1"/>
  <c r="L35" i="777"/>
  <c r="L34" i="777"/>
  <c r="L33" i="777"/>
  <c r="L32" i="777"/>
  <c r="L31" i="777"/>
  <c r="L30" i="777"/>
  <c r="L29" i="777"/>
  <c r="L28" i="777"/>
  <c r="L27" i="777"/>
  <c r="L26" i="777"/>
  <c r="L25" i="777"/>
  <c r="L24" i="777"/>
  <c r="L23" i="777"/>
  <c r="L22" i="777"/>
  <c r="L21" i="777"/>
  <c r="L20" i="777"/>
  <c r="L19" i="777"/>
  <c r="L18" i="777"/>
  <c r="L17" i="777"/>
  <c r="L16" i="777"/>
  <c r="L15" i="777"/>
  <c r="L14" i="777"/>
  <c r="L13" i="777"/>
  <c r="L12" i="777"/>
  <c r="L11" i="777"/>
  <c r="L10" i="777"/>
  <c r="L9" i="777"/>
  <c r="L8" i="777"/>
  <c r="L7" i="777"/>
  <c r="L6" i="777"/>
  <c r="R3" i="777"/>
  <c r="B3" i="777"/>
  <c r="L36" i="9" l="1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B3" i="9" l="1"/>
  <c r="R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Helmut Wiesen</author>
  </authors>
  <commentList>
    <comment ref="D42" authorId="0" shapeId="0" xr:uid="{00000000-0006-0000-0C00-000001000000}">
      <text>
        <r>
          <rPr>
            <sz val="8"/>
            <color indexed="81"/>
            <rFont val="Tahoma"/>
            <family val="2"/>
          </rPr>
          <t xml:space="preserve">z.B.  20  Std:  = </t>
        </r>
        <r>
          <rPr>
            <sz val="8"/>
            <color indexed="10"/>
            <rFont val="Tahoma"/>
            <family val="2"/>
          </rPr>
          <t>Eingabe: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20:00  </t>
        </r>
        <r>
          <rPr>
            <sz val="8"/>
            <color indexed="81"/>
            <rFont val="Tahoma"/>
            <family val="2"/>
          </rPr>
          <t>Anzeige im Feld</t>
        </r>
        <r>
          <rPr>
            <b/>
            <sz val="8"/>
            <color indexed="81"/>
            <rFont val="Tahoma"/>
            <family val="2"/>
          </rPr>
          <t xml:space="preserve"> 1200 </t>
        </r>
        <r>
          <rPr>
            <sz val="8"/>
            <color indexed="81"/>
            <rFont val="Tahoma"/>
            <family val="2"/>
          </rPr>
          <t>(Min)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Helmut Wiesen</author>
  </authors>
  <commentList>
    <comment ref="D42" authorId="0" shapeId="0" xr:uid="{B3723D34-D051-624B-A1EA-18FFFEF2D4C5}">
      <text>
        <r>
          <rPr>
            <sz val="8"/>
            <color indexed="81"/>
            <rFont val="Tahoma"/>
            <family val="2"/>
          </rPr>
          <t xml:space="preserve">z.B.  20  Std:  = </t>
        </r>
        <r>
          <rPr>
            <sz val="8"/>
            <color indexed="10"/>
            <rFont val="Tahoma"/>
            <family val="2"/>
          </rPr>
          <t>Eingabe: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20:00  </t>
        </r>
        <r>
          <rPr>
            <sz val="8"/>
            <color indexed="81"/>
            <rFont val="Tahoma"/>
            <family val="2"/>
          </rPr>
          <t>Anzeige im Feld</t>
        </r>
        <r>
          <rPr>
            <b/>
            <sz val="8"/>
            <color indexed="81"/>
            <rFont val="Tahoma"/>
            <family val="2"/>
          </rPr>
          <t xml:space="preserve"> 1200 </t>
        </r>
        <r>
          <rPr>
            <sz val="8"/>
            <color indexed="81"/>
            <rFont val="Tahoma"/>
            <family val="2"/>
          </rPr>
          <t>(Min)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<sst xmlns="http://schemas.openxmlformats.org/spreadsheetml/2006/main" count="100" uniqueCount="22">
  <si>
    <t>Arbeitszeitkarte für Monat</t>
  </si>
  <si>
    <t>Tag</t>
  </si>
  <si>
    <t>Datum</t>
  </si>
  <si>
    <t>Beginn</t>
  </si>
  <si>
    <t>Ende</t>
  </si>
  <si>
    <t>Montag</t>
  </si>
  <si>
    <t>Dienstag</t>
  </si>
  <si>
    <t>Mittwoch</t>
  </si>
  <si>
    <t>Donnerstag</t>
  </si>
  <si>
    <t>Freitag</t>
  </si>
  <si>
    <t>aktueller Monatssaldo</t>
  </si>
  <si>
    <t>End P.</t>
  </si>
  <si>
    <t>Anf P.</t>
  </si>
  <si>
    <t>Samstag</t>
  </si>
  <si>
    <t>Sonntag</t>
  </si>
  <si>
    <t xml:space="preserve">Tatsächliche Pause </t>
  </si>
  <si>
    <t>KW</t>
  </si>
  <si>
    <t>31b</t>
  </si>
  <si>
    <t xml:space="preserve">                                             </t>
  </si>
  <si>
    <t>Instutition</t>
  </si>
  <si>
    <t>Name</t>
  </si>
  <si>
    <t>20xx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</si>
</sst>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/m"/>
    <numFmt numFmtId="165" formatCode="h:mm"/>
    <numFmt numFmtId="166" formatCode="[mmm]:ss"/>
    <numFmt numFmtId="167" formatCode="_-* [mm]:ss"/>
    <numFmt numFmtId="168" formatCode="[mm]:ss"/>
    <numFmt numFmtId="169" formatCode="dd/mm/"/>
  </numFmts>
  <fonts count="20" x14ac:knownFonts="1">
    <font>
      <sz val="11"/>
      <name val="Arial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10"/>
      <name val="Tahoma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8"/>
      <color theme="0"/>
      <name val="Arial"/>
      <family val="2"/>
    </font>
    <font>
      <b/>
      <sz val="10"/>
      <color rgb="FFFF0000"/>
      <name val="Arial"/>
      <family val="2"/>
    </font>
    <font>
      <b/>
      <sz val="8"/>
      <color rgb="FF0000FF"/>
      <name val="Arial"/>
      <family val="2"/>
    </font>
    <font>
      <sz val="8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14" fontId="4" fillId="0" borderId="1">
      <protection hidden="1"/>
    </xf>
  </cellStyleXfs>
  <cellXfs count="97">
    <xf numFmtId="0" fontId="0" fillId="0" borderId="0" xfId="0"/>
    <xf numFmtId="0" fontId="7" fillId="0" borderId="0" xfId="0" applyFont="1"/>
    <xf numFmtId="165" fontId="8" fillId="0" borderId="2" xfId="0" applyNumberFormat="1" applyFont="1" applyBorder="1" applyAlignment="1" applyProtection="1">
      <alignment horizontal="right"/>
      <protection locked="0"/>
    </xf>
    <xf numFmtId="49" fontId="9" fillId="0" borderId="2" xfId="0" applyNumberFormat="1" applyFont="1" applyBorder="1" applyProtection="1">
      <protection locked="0"/>
    </xf>
    <xf numFmtId="49" fontId="9" fillId="0" borderId="3" xfId="0" applyNumberFormat="1" applyFont="1" applyBorder="1" applyProtection="1">
      <protection locked="0"/>
    </xf>
    <xf numFmtId="49" fontId="9" fillId="0" borderId="4" xfId="0" applyNumberFormat="1" applyFont="1" applyBorder="1" applyProtection="1">
      <protection locked="0"/>
    </xf>
    <xf numFmtId="0" fontId="8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0" borderId="0" xfId="0" applyFont="1"/>
    <xf numFmtId="0" fontId="5" fillId="0" borderId="5" xfId="0" applyFont="1" applyBorder="1" applyAlignment="1">
      <alignment horizontal="left"/>
    </xf>
    <xf numFmtId="0" fontId="9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5" xfId="0" applyFont="1" applyBorder="1" applyAlignment="1">
      <alignment horizontal="right"/>
    </xf>
    <xf numFmtId="0" fontId="8" fillId="0" borderId="7" xfId="0" applyFont="1" applyBorder="1" applyAlignment="1">
      <alignment horizontal="left"/>
    </xf>
    <xf numFmtId="0" fontId="8" fillId="0" borderId="3" xfId="0" applyFont="1" applyBorder="1" applyAlignment="1">
      <alignment horizontal="center"/>
    </xf>
    <xf numFmtId="0" fontId="8" fillId="0" borderId="3" xfId="0" applyFont="1" applyBorder="1"/>
    <xf numFmtId="0" fontId="4" fillId="0" borderId="0" xfId="0" applyFont="1"/>
    <xf numFmtId="169" fontId="8" fillId="0" borderId="7" xfId="1" applyNumberFormat="1" applyFont="1" applyBorder="1" applyAlignment="1" applyProtection="1">
      <alignment horizontal="center"/>
    </xf>
    <xf numFmtId="0" fontId="6" fillId="0" borderId="0" xfId="0" applyFont="1"/>
    <xf numFmtId="0" fontId="4" fillId="0" borderId="0" xfId="0" quotePrefix="1" applyFont="1"/>
    <xf numFmtId="164" fontId="4" fillId="0" borderId="0" xfId="0" applyNumberFormat="1" applyFont="1"/>
    <xf numFmtId="49" fontId="4" fillId="0" borderId="0" xfId="0" applyNumberFormat="1" applyFont="1"/>
    <xf numFmtId="0" fontId="3" fillId="0" borderId="0" xfId="0" applyFont="1" applyAlignment="1">
      <alignment horizontal="center"/>
    </xf>
    <xf numFmtId="20" fontId="9" fillId="0" borderId="2" xfId="0" applyNumberFormat="1" applyFont="1" applyBorder="1" applyProtection="1">
      <protection hidden="1"/>
    </xf>
    <xf numFmtId="20" fontId="13" fillId="0" borderId="0" xfId="0" applyNumberFormat="1" applyFont="1" applyProtection="1">
      <protection hidden="1"/>
    </xf>
    <xf numFmtId="20" fontId="8" fillId="0" borderId="0" xfId="0" applyNumberFormat="1" applyFont="1"/>
    <xf numFmtId="0" fontId="8" fillId="0" borderId="3" xfId="0" applyFont="1" applyBorder="1" applyAlignment="1">
      <alignment wrapText="1"/>
    </xf>
    <xf numFmtId="0" fontId="2" fillId="0" borderId="8" xfId="0" applyFont="1" applyBorder="1"/>
    <xf numFmtId="0" fontId="4" fillId="2" borderId="8" xfId="0" applyFont="1" applyFill="1" applyBorder="1" applyAlignment="1">
      <alignment horizontal="left"/>
    </xf>
    <xf numFmtId="0" fontId="3" fillId="2" borderId="12" xfId="0" applyFont="1" applyFill="1" applyBorder="1" applyAlignment="1">
      <alignment horizontal="left"/>
    </xf>
    <xf numFmtId="0" fontId="14" fillId="0" borderId="0" xfId="0" quotePrefix="1" applyFont="1"/>
    <xf numFmtId="0" fontId="15" fillId="0" borderId="0" xfId="0" quotePrefix="1" applyFont="1"/>
    <xf numFmtId="164" fontId="6" fillId="0" borderId="0" xfId="0" applyNumberFormat="1" applyFont="1"/>
    <xf numFmtId="49" fontId="6" fillId="0" borderId="0" xfId="0" applyNumberFormat="1" applyFont="1"/>
    <xf numFmtId="0" fontId="8" fillId="0" borderId="3" xfId="0" applyFont="1" applyBorder="1" applyAlignment="1">
      <alignment horizontal="center" wrapText="1"/>
    </xf>
    <xf numFmtId="20" fontId="16" fillId="0" borderId="2" xfId="0" applyNumberFormat="1" applyFont="1" applyBorder="1" applyProtection="1">
      <protection hidden="1"/>
    </xf>
    <xf numFmtId="0" fontId="15" fillId="0" borderId="0" xfId="0" applyFont="1"/>
    <xf numFmtId="0" fontId="15" fillId="0" borderId="11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20" fontId="9" fillId="0" borderId="16" xfId="0" applyNumberFormat="1" applyFont="1" applyBorder="1" applyProtection="1">
      <protection hidden="1"/>
    </xf>
    <xf numFmtId="169" fontId="8" fillId="0" borderId="9" xfId="1" applyNumberFormat="1" applyFont="1" applyBorder="1" applyAlignment="1" applyProtection="1">
      <alignment horizontal="center"/>
    </xf>
    <xf numFmtId="0" fontId="8" fillId="0" borderId="15" xfId="0" applyFont="1" applyBorder="1" applyAlignment="1">
      <alignment horizontal="right"/>
    </xf>
    <xf numFmtId="165" fontId="8" fillId="0" borderId="2" xfId="0" applyNumberFormat="1" applyFont="1" applyBorder="1" applyAlignment="1">
      <alignment horizontal="right"/>
    </xf>
    <xf numFmtId="20" fontId="9" fillId="0" borderId="2" xfId="0" applyNumberFormat="1" applyFont="1" applyBorder="1"/>
    <xf numFmtId="168" fontId="8" fillId="0" borderId="3" xfId="0" applyNumberFormat="1" applyFont="1" applyBorder="1"/>
    <xf numFmtId="168" fontId="8" fillId="0" borderId="2" xfId="0" applyNumberFormat="1" applyFont="1" applyBorder="1"/>
    <xf numFmtId="165" fontId="8" fillId="0" borderId="16" xfId="0" applyNumberFormat="1" applyFont="1" applyBorder="1" applyAlignment="1" applyProtection="1">
      <alignment horizontal="right"/>
      <protection locked="0"/>
    </xf>
    <xf numFmtId="167" fontId="6" fillId="3" borderId="0" xfId="0" applyNumberFormat="1" applyFont="1" applyFill="1"/>
    <xf numFmtId="20" fontId="14" fillId="0" borderId="0" xfId="0" applyNumberFormat="1" applyFont="1" applyAlignment="1">
      <alignment horizontal="left"/>
    </xf>
    <xf numFmtId="20" fontId="15" fillId="0" borderId="0" xfId="0" applyNumberFormat="1" applyFont="1" applyAlignment="1">
      <alignment horizontal="left"/>
    </xf>
    <xf numFmtId="20" fontId="15" fillId="0" borderId="0" xfId="0" quotePrefix="1" applyNumberFormat="1" applyFont="1" applyAlignment="1">
      <alignment horizontal="left"/>
    </xf>
    <xf numFmtId="2" fontId="6" fillId="0" borderId="0" xfId="0" applyNumberFormat="1" applyFont="1"/>
    <xf numFmtId="167" fontId="17" fillId="3" borderId="10" xfId="0" applyNumberFormat="1" applyFont="1" applyFill="1" applyBorder="1"/>
    <xf numFmtId="0" fontId="2" fillId="0" borderId="15" xfId="0" applyFont="1" applyBorder="1"/>
    <xf numFmtId="0" fontId="2" fillId="0" borderId="8" xfId="0" applyFont="1" applyBorder="1"/>
    <xf numFmtId="0" fontId="4" fillId="2" borderId="15" xfId="0" applyFont="1" applyFill="1" applyBorder="1" applyAlignment="1">
      <alignment horizontal="left"/>
    </xf>
    <xf numFmtId="0" fontId="4" fillId="2" borderId="8" xfId="0" applyFont="1" applyFill="1" applyBorder="1" applyAlignment="1">
      <alignment horizontal="left"/>
    </xf>
    <xf numFmtId="0" fontId="3" fillId="2" borderId="14" xfId="0" applyFont="1" applyFill="1" applyBorder="1" applyAlignment="1">
      <alignment horizontal="left"/>
    </xf>
    <xf numFmtId="0" fontId="3" fillId="2" borderId="12" xfId="0" applyFont="1" applyFill="1" applyBorder="1" applyAlignment="1">
      <alignment horizontal="left"/>
    </xf>
    <xf numFmtId="0" fontId="6" fillId="3" borderId="10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165" fontId="8" fillId="0" borderId="16" xfId="0" applyNumberFormat="1" applyFont="1" applyBorder="1" applyAlignment="1">
      <alignment horizontal="right"/>
    </xf>
    <xf numFmtId="20" fontId="9" fillId="0" borderId="16" xfId="0" applyNumberFormat="1" applyFont="1" applyBorder="1"/>
    <xf numFmtId="168" fontId="8" fillId="0" borderId="4" xfId="0" applyNumberFormat="1" applyFont="1" applyBorder="1"/>
    <xf numFmtId="0" fontId="8" fillId="0" borderId="0" xfId="0" applyFont="1" applyBorder="1"/>
    <xf numFmtId="164" fontId="8" fillId="0" borderId="0" xfId="0" applyNumberFormat="1" applyFont="1" applyBorder="1"/>
    <xf numFmtId="49" fontId="8" fillId="0" borderId="0" xfId="0" applyNumberFormat="1" applyFont="1" applyBorder="1"/>
    <xf numFmtId="166" fontId="15" fillId="0" borderId="0" xfId="0" applyNumberFormat="1" applyFont="1" applyBorder="1"/>
    <xf numFmtId="49" fontId="18" fillId="0" borderId="0" xfId="0" applyNumberFormat="1" applyFont="1" applyBorder="1" applyAlignment="1">
      <alignment horizontal="center"/>
    </xf>
    <xf numFmtId="0" fontId="4" fillId="0" borderId="0" xfId="0" applyFont="1" applyBorder="1"/>
    <xf numFmtId="0" fontId="4" fillId="0" borderId="0" xfId="0" quotePrefix="1" applyFont="1" applyBorder="1"/>
    <xf numFmtId="0" fontId="8" fillId="0" borderId="0" xfId="0" applyFont="1" applyBorder="1" applyAlignment="1">
      <alignment horizontal="left"/>
    </xf>
    <xf numFmtId="167" fontId="15" fillId="0" borderId="0" xfId="0" applyNumberFormat="1" applyFont="1" applyBorder="1" applyAlignment="1">
      <alignment horizontal="left"/>
    </xf>
    <xf numFmtId="167" fontId="8" fillId="0" borderId="0" xfId="0" applyNumberFormat="1" applyFont="1" applyBorder="1" applyAlignment="1">
      <alignment horizontal="left"/>
    </xf>
    <xf numFmtId="49" fontId="15" fillId="0" borderId="0" xfId="0" applyNumberFormat="1" applyFont="1" applyBorder="1"/>
    <xf numFmtId="49" fontId="15" fillId="0" borderId="0" xfId="0" applyNumberFormat="1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166" fontId="14" fillId="0" borderId="0" xfId="0" applyNumberFormat="1" applyFont="1" applyBorder="1" applyAlignment="1">
      <alignment horizontal="right"/>
    </xf>
    <xf numFmtId="166" fontId="8" fillId="0" borderId="0" xfId="0" applyNumberFormat="1" applyFont="1" applyBorder="1" applyAlignment="1">
      <alignment horizontal="right"/>
    </xf>
    <xf numFmtId="49" fontId="8" fillId="0" borderId="0" xfId="0" applyNumberFormat="1" applyFont="1" applyBorder="1" applyAlignment="1">
      <alignment horizontal="left"/>
    </xf>
    <xf numFmtId="166" fontId="8" fillId="0" borderId="0" xfId="0" applyNumberFormat="1" applyFont="1" applyBorder="1"/>
    <xf numFmtId="0" fontId="8" fillId="0" borderId="0" xfId="0" applyFont="1" applyBorder="1" applyAlignment="1">
      <alignment horizontal="left" wrapText="1"/>
    </xf>
    <xf numFmtId="167" fontId="15" fillId="0" borderId="0" xfId="0" applyNumberFormat="1" applyFont="1" applyBorder="1" applyAlignment="1" applyProtection="1">
      <alignment horizontal="left"/>
      <protection locked="0"/>
    </xf>
    <xf numFmtId="167" fontId="8" fillId="0" borderId="0" xfId="0" quotePrefix="1" applyNumberFormat="1" applyFont="1" applyBorder="1" applyAlignment="1" applyProtection="1">
      <alignment horizontal="left"/>
      <protection locked="0"/>
    </xf>
    <xf numFmtId="167" fontId="8" fillId="0" borderId="0" xfId="0" applyNumberFormat="1" applyFont="1" applyBorder="1" applyAlignment="1" applyProtection="1">
      <alignment horizontal="left"/>
      <protection locked="0"/>
    </xf>
    <xf numFmtId="167" fontId="8" fillId="0" borderId="0" xfId="0" applyNumberFormat="1" applyFont="1" applyBorder="1" applyAlignment="1" applyProtection="1">
      <alignment horizontal="left"/>
      <protection locked="0"/>
    </xf>
    <xf numFmtId="164" fontId="8" fillId="0" borderId="0" xfId="0" applyNumberFormat="1" applyFont="1" applyBorder="1" applyAlignment="1">
      <alignment horizontal="left"/>
    </xf>
    <xf numFmtId="0" fontId="19" fillId="0" borderId="0" xfId="0" applyFont="1" applyBorder="1" applyAlignment="1">
      <alignment horizontal="right"/>
    </xf>
    <xf numFmtId="166" fontId="15" fillId="0" borderId="0" xfId="0" applyNumberFormat="1" applyFont="1" applyBorder="1" applyAlignment="1">
      <alignment horizontal="center"/>
    </xf>
    <xf numFmtId="49" fontId="8" fillId="0" borderId="0" xfId="0" applyNumberFormat="1" applyFont="1" applyBorder="1" applyAlignment="1">
      <alignment horizontal="left"/>
    </xf>
  </cellXfs>
  <cellStyles count="2">
    <cellStyle name="Datum" xfId="1" xr:uid="{00000000-0005-0000-0000-000000000000}"/>
    <cellStyle name="Standard" xfId="0" builtinId="0"/>
  </cellStyles>
  <dxfs count="8">
    <dxf>
      <font>
        <condense val="0"/>
        <extend val="0"/>
        <color indexed="1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>
    <pageSetUpPr fitToPage="1"/>
  </sheetPr>
  <dimension ref="A1:V88"/>
  <sheetViews>
    <sheetView showGridLines="0" topLeftCell="A5" workbookViewId="0">
      <selection activeCell="P19" sqref="P19"/>
    </sheetView>
  </sheetViews>
  <sheetFormatPr baseColWidth="10" defaultColWidth="11" defaultRowHeight="14" x14ac:dyDescent="0.15"/>
  <cols>
    <col min="1" max="1" width="3.1640625" style="6" customWidth="1"/>
    <col min="2" max="2" width="8.1640625" customWidth="1"/>
    <col min="3" max="3" width="4.5" customWidth="1"/>
    <col min="4" max="4" width="5.5" customWidth="1"/>
    <col min="5" max="7" width="4.6640625" bestFit="1" customWidth="1"/>
    <col min="8" max="8" width="5" customWidth="1"/>
    <col min="9" max="10" width="4.6640625" bestFit="1" customWidth="1"/>
    <col min="11" max="11" width="4.1640625" customWidth="1"/>
    <col min="12" max="12" width="5.33203125" customWidth="1"/>
    <col min="13" max="13" width="5.6640625" customWidth="1"/>
    <col min="14" max="14" width="5.83203125" customWidth="1"/>
    <col min="15" max="15" width="6.6640625" bestFit="1" customWidth="1"/>
    <col min="16" max="16" width="5.6640625" customWidth="1"/>
    <col min="17" max="17" width="5.1640625" customWidth="1"/>
    <col min="18" max="18" width="6.33203125" customWidth="1"/>
    <col min="19" max="19" width="12.5" customWidth="1"/>
    <col min="20" max="20" width="4.83203125" customWidth="1"/>
    <col min="21" max="21" width="4.5" customWidth="1"/>
    <col min="22" max="22" width="5.5" customWidth="1"/>
  </cols>
  <sheetData>
    <row r="1" spans="1:22" s="9" customFormat="1" ht="18" x14ac:dyDescent="0.2">
      <c r="A1" s="6"/>
      <c r="B1" s="60" t="s">
        <v>19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33"/>
      <c r="O1" s="7"/>
      <c r="P1" s="7"/>
      <c r="Q1" s="8"/>
    </row>
    <row r="2" spans="1:22" s="1" customFormat="1" ht="15.75" customHeight="1" x14ac:dyDescent="0.2">
      <c r="A2" s="6"/>
      <c r="B2" s="62" t="s">
        <v>0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34"/>
      <c r="O2" s="10"/>
      <c r="P2" s="10"/>
      <c r="Q2" s="11"/>
      <c r="R2" s="66" t="s">
        <v>10</v>
      </c>
      <c r="S2" s="67"/>
    </row>
    <row r="3" spans="1:22" s="14" customFormat="1" ht="16" x14ac:dyDescent="0.2">
      <c r="A3" s="42"/>
      <c r="B3" s="64" t="str">
        <f>TEXT(C6, "MMMM")</f>
        <v>August</v>
      </c>
      <c r="C3" s="65"/>
      <c r="D3" s="65" t="s">
        <v>21</v>
      </c>
      <c r="E3" s="65"/>
      <c r="F3" s="65"/>
      <c r="G3" s="65"/>
      <c r="H3" s="65"/>
      <c r="I3" s="35"/>
      <c r="J3" s="35"/>
      <c r="K3" s="12"/>
      <c r="L3" s="12"/>
      <c r="M3" s="12"/>
      <c r="N3" s="12"/>
      <c r="O3" s="12"/>
      <c r="P3" s="12"/>
      <c r="Q3" s="13"/>
      <c r="R3" s="59">
        <f>D43</f>
        <v>0</v>
      </c>
      <c r="S3" s="54"/>
    </row>
    <row r="4" spans="1:22" x14ac:dyDescent="0.15">
      <c r="B4" s="15" t="s">
        <v>20</v>
      </c>
      <c r="C4" s="16"/>
      <c r="D4" s="16"/>
      <c r="E4" s="16"/>
      <c r="F4" s="16"/>
      <c r="G4" s="16"/>
      <c r="H4" s="16"/>
      <c r="I4" s="16"/>
      <c r="J4" s="16"/>
      <c r="K4" s="41">
        <v>1.0416666666666666E-2</v>
      </c>
      <c r="L4" s="41">
        <v>2.0833333333333332E-2</v>
      </c>
      <c r="M4" s="41">
        <v>3.125E-2</v>
      </c>
      <c r="N4" s="41"/>
      <c r="O4" s="41">
        <v>0.24930555555555556</v>
      </c>
      <c r="P4" s="41">
        <v>0.3743055555555555</v>
      </c>
      <c r="Q4" s="17"/>
    </row>
    <row r="5" spans="1:22" s="22" customFormat="1" ht="65.25" customHeight="1" x14ac:dyDescent="0.2">
      <c r="A5" s="6" t="s">
        <v>16</v>
      </c>
      <c r="B5" s="18" t="s">
        <v>1</v>
      </c>
      <c r="C5" s="19" t="s">
        <v>2</v>
      </c>
      <c r="D5" s="20" t="s">
        <v>3</v>
      </c>
      <c r="E5" s="20" t="s">
        <v>12</v>
      </c>
      <c r="F5" s="20" t="s">
        <v>11</v>
      </c>
      <c r="G5" s="20" t="s">
        <v>12</v>
      </c>
      <c r="H5" s="20" t="s">
        <v>11</v>
      </c>
      <c r="I5" s="20" t="s">
        <v>12</v>
      </c>
      <c r="J5" s="20" t="s">
        <v>11</v>
      </c>
      <c r="K5" s="21" t="s">
        <v>4</v>
      </c>
      <c r="L5" s="40" t="s">
        <v>15</v>
      </c>
      <c r="M5" s="32"/>
      <c r="N5" s="32"/>
      <c r="O5" s="32"/>
      <c r="P5" s="32"/>
      <c r="Q5" s="32"/>
      <c r="R5" s="21"/>
      <c r="S5" s="21"/>
      <c r="U5" s="30"/>
      <c r="V5" s="28"/>
    </row>
    <row r="6" spans="1:22" s="22" customFormat="1" ht="13" x14ac:dyDescent="0.15">
      <c r="A6" s="44" t="s">
        <v>17</v>
      </c>
      <c r="B6" s="18" t="s">
        <v>8</v>
      </c>
      <c r="C6" s="23">
        <v>41851</v>
      </c>
      <c r="D6" s="2">
        <v>0.22916666666666666</v>
      </c>
      <c r="E6" s="2">
        <v>0.35416666666666669</v>
      </c>
      <c r="F6" s="2">
        <v>0.375</v>
      </c>
      <c r="G6" s="2">
        <v>0.55208333333333337</v>
      </c>
      <c r="H6" s="2">
        <v>0.5625</v>
      </c>
      <c r="I6" s="2"/>
      <c r="J6" s="2"/>
      <c r="K6" s="2">
        <v>0.67361111111111116</v>
      </c>
      <c r="L6" s="49">
        <f>(J6-I6)+(H6-G6)+(F6-E6)</f>
        <v>3.1249999999999944E-2</v>
      </c>
      <c r="M6" s="49"/>
      <c r="N6" s="2"/>
      <c r="O6" s="29"/>
      <c r="P6" s="29"/>
      <c r="Q6" s="50"/>
      <c r="R6" s="52"/>
      <c r="S6" s="3"/>
      <c r="T6" s="31"/>
    </row>
    <row r="7" spans="1:22" s="22" customFormat="1" ht="13" x14ac:dyDescent="0.15">
      <c r="A7" s="44"/>
      <c r="B7" s="18" t="s">
        <v>9</v>
      </c>
      <c r="C7" s="23">
        <v>41852</v>
      </c>
      <c r="D7" s="2"/>
      <c r="E7" s="2"/>
      <c r="F7" s="2"/>
      <c r="G7" s="2"/>
      <c r="H7" s="2"/>
      <c r="I7" s="2"/>
      <c r="J7" s="2"/>
      <c r="K7" s="2"/>
      <c r="L7" s="49">
        <f t="shared" ref="L7:L36" si="0">(J7-I7)+(H7-G7)+(F7-E7)</f>
        <v>0</v>
      </c>
      <c r="M7" s="49"/>
      <c r="N7" s="2"/>
      <c r="O7" s="29"/>
      <c r="P7" s="29"/>
      <c r="Q7" s="50"/>
      <c r="R7" s="51"/>
      <c r="S7" s="4"/>
      <c r="T7" s="31"/>
    </row>
    <row r="8" spans="1:22" s="22" customFormat="1" ht="13" x14ac:dyDescent="0.15">
      <c r="A8" s="43"/>
      <c r="B8" s="18" t="s">
        <v>13</v>
      </c>
      <c r="C8" s="23">
        <v>41853</v>
      </c>
      <c r="D8" s="2"/>
      <c r="E8" s="2"/>
      <c r="F8" s="2"/>
      <c r="G8" s="2"/>
      <c r="H8" s="2"/>
      <c r="I8" s="2"/>
      <c r="J8" s="2"/>
      <c r="K8" s="2"/>
      <c r="L8" s="49">
        <f t="shared" si="0"/>
        <v>0</v>
      </c>
      <c r="M8" s="49"/>
      <c r="N8" s="2"/>
      <c r="O8" s="29"/>
      <c r="P8" s="29"/>
      <c r="Q8" s="50"/>
      <c r="R8" s="51"/>
      <c r="S8" s="4"/>
      <c r="T8" s="31"/>
    </row>
    <row r="9" spans="1:22" s="22" customFormat="1" ht="13" x14ac:dyDescent="0.15">
      <c r="A9" s="45"/>
      <c r="B9" s="18" t="s">
        <v>14</v>
      </c>
      <c r="C9" s="23">
        <v>41854</v>
      </c>
      <c r="D9" s="2"/>
      <c r="E9" s="2"/>
      <c r="F9" s="2"/>
      <c r="G9" s="2"/>
      <c r="H9" s="2"/>
      <c r="I9" s="2"/>
      <c r="J9" s="2"/>
      <c r="K9" s="2"/>
      <c r="L9" s="49">
        <f t="shared" si="0"/>
        <v>0</v>
      </c>
      <c r="M9" s="49"/>
      <c r="N9" s="2"/>
      <c r="O9" s="29"/>
      <c r="P9" s="29"/>
      <c r="Q9" s="50"/>
      <c r="R9" s="51"/>
      <c r="S9" s="4"/>
      <c r="T9" s="31"/>
      <c r="U9" s="55"/>
      <c r="V9" s="36"/>
    </row>
    <row r="10" spans="1:22" s="22" customFormat="1" ht="13" x14ac:dyDescent="0.15">
      <c r="A10" s="45">
        <v>32</v>
      </c>
      <c r="B10" s="18" t="s">
        <v>5</v>
      </c>
      <c r="C10" s="23">
        <v>41855</v>
      </c>
      <c r="D10" s="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 s="49"/>
      <c r="N10" s="2"/>
      <c r="O10" s="29"/>
      <c r="P10" s="29"/>
      <c r="Q10" s="50"/>
      <c r="R10" s="51"/>
      <c r="S10" s="4"/>
      <c r="T10" s="31"/>
    </row>
    <row r="11" spans="1:22" s="22" customFormat="1" ht="13" x14ac:dyDescent="0.15">
      <c r="A11" s="45"/>
      <c r="B11" s="18" t="s">
        <v>6</v>
      </c>
      <c r="C11" s="23">
        <v>41856</v>
      </c>
      <c r="D11" s="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 s="49"/>
      <c r="N11" s="2"/>
      <c r="O11" s="29"/>
      <c r="P11" s="29"/>
      <c r="Q11" s="50"/>
      <c r="R11" s="51"/>
      <c r="S11" s="4"/>
      <c r="T11" s="31"/>
      <c r="U11" s="36"/>
    </row>
    <row r="12" spans="1:22" s="22" customFormat="1" ht="13" x14ac:dyDescent="0.15">
      <c r="A12" s="45"/>
      <c r="B12" s="18" t="s">
        <v>7</v>
      </c>
      <c r="C12" s="23">
        <v>41857</v>
      </c>
      <c r="D12" s="2">
        <v>0.27083333333333331</v>
      </c>
      <c r="E12" s="2">
        <v>0.35416666666666669</v>
      </c>
      <c r="F12" s="2">
        <v>0.375</v>
      </c>
      <c r="G12" s="2">
        <v>0.57291666666666663</v>
      </c>
      <c r="H12" s="2">
        <v>0.59375</v>
      </c>
      <c r="I12" s="2"/>
      <c r="J12" s="2"/>
      <c r="K12" s="2">
        <v>0.71180555555555547</v>
      </c>
      <c r="L12" s="49">
        <f t="shared" si="0"/>
        <v>4.1666666666666685E-2</v>
      </c>
      <c r="M12" s="49"/>
      <c r="N12" s="2"/>
      <c r="O12" s="29"/>
      <c r="P12" s="29"/>
      <c r="Q12" s="50"/>
      <c r="R12" s="51"/>
      <c r="S12" s="4"/>
      <c r="T12" s="31"/>
    </row>
    <row r="13" spans="1:22" s="22" customFormat="1" ht="13" x14ac:dyDescent="0.15">
      <c r="A13" s="44"/>
      <c r="B13" s="18" t="s">
        <v>8</v>
      </c>
      <c r="C13" s="23">
        <v>41858</v>
      </c>
      <c r="D13" s="2">
        <v>0.33333333333333331</v>
      </c>
      <c r="E13" s="2">
        <v>0.41666666666666669</v>
      </c>
      <c r="F13" s="2">
        <v>0.4375</v>
      </c>
      <c r="G13" s="2"/>
      <c r="H13" s="2"/>
      <c r="I13" s="2"/>
      <c r="J13" s="2"/>
      <c r="K13" s="2">
        <v>0.67708333333333337</v>
      </c>
      <c r="L13" s="49">
        <f t="shared" si="0"/>
        <v>2.0833333333333315E-2</v>
      </c>
      <c r="M13" s="49"/>
      <c r="N13" s="2"/>
      <c r="O13" s="29"/>
      <c r="P13" s="29"/>
      <c r="Q13" s="50"/>
      <c r="R13" s="51"/>
      <c r="S13" s="4"/>
      <c r="T13" s="31"/>
    </row>
    <row r="14" spans="1:22" s="22" customFormat="1" ht="13" x14ac:dyDescent="0.15">
      <c r="A14" s="44"/>
      <c r="B14" s="18" t="s">
        <v>9</v>
      </c>
      <c r="C14" s="23">
        <v>41859</v>
      </c>
      <c r="D14" s="2"/>
      <c r="E14" s="2"/>
      <c r="F14" s="2"/>
      <c r="G14" s="2"/>
      <c r="H14" s="2"/>
      <c r="I14" s="2"/>
      <c r="J14" s="2"/>
      <c r="K14" s="2"/>
      <c r="L14" s="49">
        <f t="shared" si="0"/>
        <v>0</v>
      </c>
      <c r="M14" s="49"/>
      <c r="N14" s="2"/>
      <c r="O14" s="29"/>
      <c r="P14" s="29"/>
      <c r="Q14" s="50"/>
      <c r="R14" s="51"/>
      <c r="S14" s="4"/>
      <c r="T14" s="31"/>
    </row>
    <row r="15" spans="1:22" s="22" customFormat="1" ht="13" x14ac:dyDescent="0.15">
      <c r="A15" s="43"/>
      <c r="B15" s="18" t="s">
        <v>13</v>
      </c>
      <c r="C15" s="23">
        <v>41860</v>
      </c>
      <c r="D15" s="2"/>
      <c r="E15" s="2"/>
      <c r="F15" s="2"/>
      <c r="G15" s="2"/>
      <c r="H15" s="2"/>
      <c r="I15" s="2"/>
      <c r="J15" s="2"/>
      <c r="K15" s="2"/>
      <c r="L15" s="49">
        <f t="shared" si="0"/>
        <v>0</v>
      </c>
      <c r="M15" s="49"/>
      <c r="N15" s="2"/>
      <c r="O15" s="29"/>
      <c r="P15" s="29"/>
      <c r="Q15" s="50"/>
      <c r="R15" s="51"/>
      <c r="S15" s="4"/>
      <c r="T15" s="31"/>
    </row>
    <row r="16" spans="1:22" s="22" customFormat="1" ht="13" x14ac:dyDescent="0.15">
      <c r="A16" s="45"/>
      <c r="B16" s="18" t="s">
        <v>14</v>
      </c>
      <c r="C16" s="23">
        <v>41861</v>
      </c>
      <c r="D16" s="2"/>
      <c r="E16" s="2"/>
      <c r="F16" s="2"/>
      <c r="G16" s="2"/>
      <c r="H16" s="2"/>
      <c r="I16" s="2"/>
      <c r="J16" s="2"/>
      <c r="K16" s="2"/>
      <c r="L16" s="49">
        <f t="shared" si="0"/>
        <v>0</v>
      </c>
      <c r="M16" s="49"/>
      <c r="N16" s="2"/>
      <c r="O16" s="29"/>
      <c r="P16" s="29"/>
      <c r="Q16" s="50"/>
      <c r="R16" s="51"/>
      <c r="S16" s="4"/>
      <c r="T16" s="31"/>
      <c r="U16" s="55"/>
      <c r="V16" s="36"/>
    </row>
    <row r="17" spans="1:22" s="22" customFormat="1" ht="13" x14ac:dyDescent="0.15">
      <c r="A17" s="45">
        <v>33</v>
      </c>
      <c r="B17" s="18" t="s">
        <v>5</v>
      </c>
      <c r="C17" s="23">
        <v>41862</v>
      </c>
      <c r="D17" s="2">
        <v>0.26041666666666669</v>
      </c>
      <c r="E17" s="2">
        <v>0.47916666666666669</v>
      </c>
      <c r="F17" s="2">
        <v>0.5</v>
      </c>
      <c r="G17" s="2">
        <v>0.55208333333333337</v>
      </c>
      <c r="H17" s="2">
        <v>0.5625</v>
      </c>
      <c r="I17" s="2"/>
      <c r="J17" s="2"/>
      <c r="K17" s="2">
        <v>0.68402777777777779</v>
      </c>
      <c r="L17" s="49">
        <f t="shared" si="0"/>
        <v>3.1249999999999944E-2</v>
      </c>
      <c r="M17" s="49"/>
      <c r="N17" s="2"/>
      <c r="O17" s="29"/>
      <c r="P17" s="29"/>
      <c r="Q17" s="50"/>
      <c r="R17" s="51"/>
      <c r="S17" s="4"/>
      <c r="T17" s="31"/>
    </row>
    <row r="18" spans="1:22" s="22" customFormat="1" ht="13" x14ac:dyDescent="0.15">
      <c r="A18" s="45"/>
      <c r="B18" s="18" t="s">
        <v>6</v>
      </c>
      <c r="C18" s="23">
        <v>41863</v>
      </c>
      <c r="D18" s="2">
        <v>0.27083333333333331</v>
      </c>
      <c r="E18" s="2"/>
      <c r="F18" s="2"/>
      <c r="G18" s="2"/>
      <c r="H18" s="2"/>
      <c r="I18" s="2"/>
      <c r="J18" s="2"/>
      <c r="K18" s="2">
        <v>0.44791666666666669</v>
      </c>
      <c r="L18" s="49">
        <f t="shared" si="0"/>
        <v>0</v>
      </c>
      <c r="M18" s="49"/>
      <c r="N18" s="2"/>
      <c r="O18" s="29"/>
      <c r="P18" s="29"/>
      <c r="Q18" s="50"/>
      <c r="R18" s="51"/>
      <c r="S18" s="4"/>
      <c r="T18" s="31"/>
      <c r="U18" s="36"/>
    </row>
    <row r="19" spans="1:22" s="22" customFormat="1" ht="13" x14ac:dyDescent="0.15">
      <c r="A19" s="45"/>
      <c r="B19" s="18" t="s">
        <v>7</v>
      </c>
      <c r="C19" s="23">
        <v>41864</v>
      </c>
      <c r="D19" s="2">
        <v>0.33333333333333331</v>
      </c>
      <c r="E19" s="2">
        <v>0.52083333333333337</v>
      </c>
      <c r="F19" s="2">
        <v>0.54166666666666663</v>
      </c>
      <c r="G19" s="2"/>
      <c r="H19" s="2"/>
      <c r="I19" s="2"/>
      <c r="J19" s="2"/>
      <c r="K19" s="2">
        <v>0.68055555555555547</v>
      </c>
      <c r="L19" s="49">
        <f t="shared" si="0"/>
        <v>2.0833333333333259E-2</v>
      </c>
      <c r="M19" s="49"/>
      <c r="N19" s="2"/>
      <c r="O19" s="29"/>
      <c r="P19" s="29"/>
      <c r="Q19" s="50"/>
      <c r="R19" s="51"/>
      <c r="S19" s="4"/>
      <c r="T19" s="31"/>
    </row>
    <row r="20" spans="1:22" s="22" customFormat="1" ht="13" x14ac:dyDescent="0.15">
      <c r="A20" s="45"/>
      <c r="B20" s="18" t="s">
        <v>8</v>
      </c>
      <c r="C20" s="23">
        <v>41865</v>
      </c>
      <c r="D20" s="2">
        <v>0.27083333333333331</v>
      </c>
      <c r="E20" s="2">
        <v>0.35416666666666669</v>
      </c>
      <c r="F20" s="2">
        <v>0.375</v>
      </c>
      <c r="G20" s="2">
        <v>0.52083333333333337</v>
      </c>
      <c r="H20" s="2">
        <v>0.54166666666666663</v>
      </c>
      <c r="I20" s="2"/>
      <c r="J20" s="2"/>
      <c r="K20" s="2">
        <v>0.66666666666666663</v>
      </c>
      <c r="L20" s="49">
        <f t="shared" si="0"/>
        <v>4.1666666666666574E-2</v>
      </c>
      <c r="M20" s="49"/>
      <c r="N20" s="2"/>
      <c r="O20" s="29"/>
      <c r="P20" s="29"/>
      <c r="Q20" s="50"/>
      <c r="R20" s="51"/>
      <c r="S20" s="4"/>
      <c r="T20" s="31"/>
    </row>
    <row r="21" spans="1:22" s="22" customFormat="1" ht="13" x14ac:dyDescent="0.15">
      <c r="A21" s="45"/>
      <c r="B21" s="18" t="s">
        <v>9</v>
      </c>
      <c r="C21" s="23">
        <v>41866</v>
      </c>
      <c r="D21" s="2">
        <v>0.22916666666666666</v>
      </c>
      <c r="E21" s="2">
        <v>0.39930555555555558</v>
      </c>
      <c r="F21" s="2">
        <v>0.4201388888888889</v>
      </c>
      <c r="G21" s="2">
        <v>0.51041666666666663</v>
      </c>
      <c r="H21" s="2">
        <v>0.53125</v>
      </c>
      <c r="I21" s="2"/>
      <c r="J21" s="2"/>
      <c r="K21" s="2">
        <v>0.60763888888888895</v>
      </c>
      <c r="L21" s="49">
        <f t="shared" si="0"/>
        <v>4.1666666666666685E-2</v>
      </c>
      <c r="M21" s="49"/>
      <c r="N21" s="2"/>
      <c r="O21" s="29"/>
      <c r="P21" s="29"/>
      <c r="Q21" s="50"/>
      <c r="R21" s="51"/>
      <c r="S21" s="4"/>
      <c r="T21" s="31"/>
    </row>
    <row r="22" spans="1:22" s="22" customFormat="1" ht="13" x14ac:dyDescent="0.15">
      <c r="A22" s="45"/>
      <c r="B22" s="18" t="s">
        <v>13</v>
      </c>
      <c r="C22" s="23">
        <v>41867</v>
      </c>
      <c r="D22" s="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 s="49"/>
      <c r="N22" s="2"/>
      <c r="O22" s="29"/>
      <c r="P22" s="29"/>
      <c r="Q22" s="50"/>
      <c r="R22" s="51"/>
      <c r="S22" s="4"/>
      <c r="T22" s="31"/>
    </row>
    <row r="23" spans="1:22" s="22" customFormat="1" ht="13" x14ac:dyDescent="0.15">
      <c r="A23" s="45"/>
      <c r="B23" s="18" t="s">
        <v>14</v>
      </c>
      <c r="C23" s="23">
        <v>41868</v>
      </c>
      <c r="D23" s="2"/>
      <c r="E23" s="2"/>
      <c r="F23" s="2"/>
      <c r="G23" s="2"/>
      <c r="H23" s="2"/>
      <c r="I23" s="2"/>
      <c r="J23" s="2"/>
      <c r="K23" s="2"/>
      <c r="L23" s="49">
        <f t="shared" si="0"/>
        <v>0</v>
      </c>
      <c r="M23" s="49"/>
      <c r="N23" s="2"/>
      <c r="O23" s="29"/>
      <c r="P23" s="29"/>
      <c r="Q23" s="50"/>
      <c r="R23" s="51"/>
      <c r="S23" s="4"/>
      <c r="T23" s="31"/>
      <c r="U23" s="55"/>
      <c r="V23" s="36"/>
    </row>
    <row r="24" spans="1:22" s="22" customFormat="1" ht="13" x14ac:dyDescent="0.15">
      <c r="A24" s="45">
        <v>34</v>
      </c>
      <c r="B24" s="18" t="s">
        <v>5</v>
      </c>
      <c r="C24" s="23">
        <v>41869</v>
      </c>
      <c r="D24" s="2">
        <v>0.22916666666666666</v>
      </c>
      <c r="E24" s="2">
        <v>0.34722222222222227</v>
      </c>
      <c r="F24" s="2">
        <v>0.36805555555555558</v>
      </c>
      <c r="G24" s="2">
        <v>0.5</v>
      </c>
      <c r="H24" s="2">
        <v>0.52083333333333337</v>
      </c>
      <c r="I24" s="2"/>
      <c r="J24" s="2"/>
      <c r="K24" s="2">
        <v>0.66666666666666663</v>
      </c>
      <c r="L24" s="49">
        <f t="shared" si="0"/>
        <v>4.1666666666666685E-2</v>
      </c>
      <c r="M24" s="49"/>
      <c r="N24" s="2"/>
      <c r="O24" s="29"/>
      <c r="P24" s="29"/>
      <c r="Q24" s="50"/>
      <c r="R24" s="51"/>
      <c r="S24" s="4"/>
      <c r="T24" s="31"/>
    </row>
    <row r="25" spans="1:22" s="22" customFormat="1" ht="13" x14ac:dyDescent="0.15">
      <c r="A25" s="44"/>
      <c r="B25" s="18" t="s">
        <v>6</v>
      </c>
      <c r="C25" s="23">
        <v>41870</v>
      </c>
      <c r="D25" s="2">
        <v>0.27083333333333331</v>
      </c>
      <c r="E25" s="2">
        <v>0.35416666666666669</v>
      </c>
      <c r="F25" s="2">
        <v>0.375</v>
      </c>
      <c r="G25" s="2">
        <v>0.54166666666666663</v>
      </c>
      <c r="H25" s="2">
        <v>0.5625</v>
      </c>
      <c r="I25" s="2"/>
      <c r="J25" s="2"/>
      <c r="K25" s="2">
        <v>0.70833333333333337</v>
      </c>
      <c r="L25" s="49">
        <f t="shared" si="0"/>
        <v>4.1666666666666685E-2</v>
      </c>
      <c r="M25" s="49"/>
      <c r="N25" s="2"/>
      <c r="O25" s="29"/>
      <c r="P25" s="29"/>
      <c r="Q25" s="50"/>
      <c r="R25" s="51"/>
      <c r="S25" s="4"/>
      <c r="T25" s="31"/>
      <c r="U25" s="37"/>
    </row>
    <row r="26" spans="1:22" s="22" customFormat="1" ht="13" x14ac:dyDescent="0.15">
      <c r="A26" s="43"/>
      <c r="B26" s="18" t="s">
        <v>7</v>
      </c>
      <c r="C26" s="23">
        <v>41871</v>
      </c>
      <c r="D26" s="2">
        <v>0.27083333333333331</v>
      </c>
      <c r="E26" s="2">
        <v>0.35416666666666669</v>
      </c>
      <c r="F26" s="2">
        <v>0.375</v>
      </c>
      <c r="G26" s="2">
        <v>0.54861111111111105</v>
      </c>
      <c r="H26" s="2">
        <v>0.56944444444444442</v>
      </c>
      <c r="I26" s="2"/>
      <c r="J26" s="2"/>
      <c r="K26" s="2">
        <v>0.71180555555555547</v>
      </c>
      <c r="L26" s="49">
        <f t="shared" si="0"/>
        <v>4.1666666666666685E-2</v>
      </c>
      <c r="M26" s="49"/>
      <c r="N26" s="2"/>
      <c r="O26" s="29"/>
      <c r="P26" s="29"/>
      <c r="Q26" s="50"/>
      <c r="R26" s="51"/>
      <c r="S26" s="4"/>
      <c r="T26" s="31"/>
    </row>
    <row r="27" spans="1:22" s="22" customFormat="1" ht="13" x14ac:dyDescent="0.15">
      <c r="A27" s="45"/>
      <c r="B27" s="18" t="s">
        <v>8</v>
      </c>
      <c r="C27" s="23">
        <v>41872</v>
      </c>
      <c r="D27" s="2">
        <v>0.33333333333333331</v>
      </c>
      <c r="E27" s="2">
        <v>0.5625</v>
      </c>
      <c r="F27" s="2">
        <v>0.58333333333333337</v>
      </c>
      <c r="G27" s="2"/>
      <c r="H27" s="2"/>
      <c r="I27" s="2"/>
      <c r="J27" s="2"/>
      <c r="K27" s="2">
        <v>0.69097222222222221</v>
      </c>
      <c r="L27" s="49">
        <f t="shared" si="0"/>
        <v>2.083333333333337E-2</v>
      </c>
      <c r="M27" s="49"/>
      <c r="N27" s="2"/>
      <c r="O27" s="29"/>
      <c r="P27" s="29"/>
      <c r="Q27" s="50"/>
      <c r="R27" s="51"/>
      <c r="S27" s="4"/>
      <c r="T27" s="31"/>
    </row>
    <row r="28" spans="1:22" s="22" customFormat="1" ht="13" x14ac:dyDescent="0.15">
      <c r="A28" s="45"/>
      <c r="B28" s="18" t="s">
        <v>9</v>
      </c>
      <c r="C28" s="23">
        <v>41873</v>
      </c>
      <c r="D28" s="2">
        <v>0.22916666666666666</v>
      </c>
      <c r="E28" s="2"/>
      <c r="F28" s="2"/>
      <c r="G28" s="2"/>
      <c r="H28" s="2"/>
      <c r="I28" s="2"/>
      <c r="J28" s="2"/>
      <c r="K28" s="2">
        <v>0.35416666666666669</v>
      </c>
      <c r="L28" s="49">
        <f t="shared" si="0"/>
        <v>0</v>
      </c>
      <c r="M28" s="49"/>
      <c r="N28" s="2"/>
      <c r="O28" s="29"/>
      <c r="P28" s="29"/>
      <c r="Q28" s="50"/>
      <c r="R28" s="51"/>
      <c r="S28" s="4"/>
      <c r="T28" s="31"/>
    </row>
    <row r="29" spans="1:22" s="22" customFormat="1" ht="13" x14ac:dyDescent="0.15">
      <c r="A29" s="45"/>
      <c r="B29" s="18" t="s">
        <v>13</v>
      </c>
      <c r="C29" s="23">
        <v>41874</v>
      </c>
      <c r="D29" s="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 s="49"/>
      <c r="N29" s="2"/>
      <c r="O29" s="29"/>
      <c r="P29" s="29"/>
      <c r="Q29" s="50"/>
      <c r="R29" s="51"/>
      <c r="S29" s="4"/>
      <c r="T29" s="31"/>
    </row>
    <row r="30" spans="1:22" s="22" customFormat="1" ht="13" x14ac:dyDescent="0.15">
      <c r="A30" s="45"/>
      <c r="B30" s="18" t="s">
        <v>14</v>
      </c>
      <c r="C30" s="23">
        <v>41875</v>
      </c>
      <c r="D30" s="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 s="49"/>
      <c r="N30" s="2"/>
      <c r="O30" s="29"/>
      <c r="P30" s="29"/>
      <c r="Q30" s="50"/>
      <c r="R30" s="51"/>
      <c r="S30" s="4"/>
      <c r="T30" s="31"/>
      <c r="U30" s="56"/>
      <c r="V30" s="37"/>
    </row>
    <row r="31" spans="1:22" s="22" customFormat="1" ht="13" x14ac:dyDescent="0.15">
      <c r="A31" s="45">
        <v>35</v>
      </c>
      <c r="B31" s="18" t="s">
        <v>5</v>
      </c>
      <c r="C31" s="23">
        <v>41876</v>
      </c>
      <c r="D31" s="2">
        <v>0.22916666666666666</v>
      </c>
      <c r="E31" s="2">
        <v>0.3263888888888889</v>
      </c>
      <c r="F31" s="2">
        <v>0.34722222222222227</v>
      </c>
      <c r="G31" s="2">
        <v>0.47916666666666669</v>
      </c>
      <c r="H31" s="2">
        <v>0.5</v>
      </c>
      <c r="I31" s="2"/>
      <c r="J31" s="2"/>
      <c r="K31" s="2">
        <v>0.67708333333333337</v>
      </c>
      <c r="L31" s="49">
        <f t="shared" si="0"/>
        <v>4.1666666666666685E-2</v>
      </c>
      <c r="M31" s="49"/>
      <c r="N31" s="2"/>
      <c r="O31" s="29"/>
      <c r="P31" s="29"/>
      <c r="Q31" s="50"/>
      <c r="R31" s="51"/>
      <c r="S31" s="4"/>
      <c r="T31" s="31"/>
    </row>
    <row r="32" spans="1:22" s="22" customFormat="1" ht="13" x14ac:dyDescent="0.15">
      <c r="A32" s="45"/>
      <c r="B32" s="18" t="s">
        <v>6</v>
      </c>
      <c r="C32" s="23">
        <v>41877</v>
      </c>
      <c r="D32" s="2">
        <v>0.32291666666666669</v>
      </c>
      <c r="E32" s="2">
        <v>0.54166666666666663</v>
      </c>
      <c r="F32" s="2">
        <v>0.5625</v>
      </c>
      <c r="G32" s="2"/>
      <c r="H32" s="2"/>
      <c r="I32" s="2"/>
      <c r="J32" s="2"/>
      <c r="K32" s="2">
        <v>0.68402777777777779</v>
      </c>
      <c r="L32" s="49">
        <f t="shared" si="0"/>
        <v>2.083333333333337E-2</v>
      </c>
      <c r="M32" s="49"/>
      <c r="N32" s="2"/>
      <c r="O32" s="29"/>
      <c r="P32" s="29"/>
      <c r="Q32" s="50"/>
      <c r="R32" s="51"/>
      <c r="S32" s="4"/>
      <c r="T32" s="31"/>
      <c r="U32" s="36"/>
    </row>
    <row r="33" spans="1:22" s="22" customFormat="1" ht="13" x14ac:dyDescent="0.15">
      <c r="A33" s="45"/>
      <c r="B33" s="18" t="s">
        <v>7</v>
      </c>
      <c r="C33" s="23">
        <v>41878</v>
      </c>
      <c r="D33" s="2">
        <v>0.22916666666666666</v>
      </c>
      <c r="E33" s="2">
        <v>0.35416666666666669</v>
      </c>
      <c r="F33" s="2">
        <v>0.375</v>
      </c>
      <c r="G33" s="2">
        <v>0.53472222222222221</v>
      </c>
      <c r="H33" s="2">
        <v>0.55555555555555558</v>
      </c>
      <c r="I33" s="2"/>
      <c r="J33" s="2"/>
      <c r="K33" s="2">
        <v>0.66319444444444442</v>
      </c>
      <c r="L33" s="49">
        <f t="shared" si="0"/>
        <v>4.1666666666666685E-2</v>
      </c>
      <c r="M33" s="49"/>
      <c r="N33" s="2"/>
      <c r="O33" s="29"/>
      <c r="P33" s="29"/>
      <c r="Q33" s="50"/>
      <c r="R33" s="51"/>
      <c r="S33" s="4"/>
      <c r="T33" s="31"/>
    </row>
    <row r="34" spans="1:22" s="22" customFormat="1" ht="13" x14ac:dyDescent="0.15">
      <c r="A34" s="45"/>
      <c r="B34" s="18" t="s">
        <v>8</v>
      </c>
      <c r="C34" s="23">
        <v>41879</v>
      </c>
      <c r="D34" s="2">
        <v>0.33333333333333331</v>
      </c>
      <c r="E34" s="2">
        <v>0.54166666666666663</v>
      </c>
      <c r="F34" s="2">
        <v>0.5625</v>
      </c>
      <c r="G34" s="2"/>
      <c r="H34" s="2"/>
      <c r="I34" s="2"/>
      <c r="J34" s="2"/>
      <c r="K34" s="2">
        <v>0.68402777777777779</v>
      </c>
      <c r="L34" s="49">
        <f t="shared" si="0"/>
        <v>2.083333333333337E-2</v>
      </c>
      <c r="M34" s="49"/>
      <c r="N34" s="2"/>
      <c r="O34" s="29"/>
      <c r="P34" s="29"/>
      <c r="Q34" s="50"/>
      <c r="R34" s="51"/>
      <c r="S34" s="4"/>
      <c r="T34" s="31"/>
    </row>
    <row r="35" spans="1:22" s="22" customFormat="1" ht="13" x14ac:dyDescent="0.15">
      <c r="A35" s="45"/>
      <c r="B35" s="18" t="s">
        <v>9</v>
      </c>
      <c r="C35" s="23">
        <v>41880</v>
      </c>
      <c r="D35" s="2">
        <v>0.22916666666666666</v>
      </c>
      <c r="E35" s="2">
        <v>0.35416666666666669</v>
      </c>
      <c r="F35" s="2">
        <v>0.375</v>
      </c>
      <c r="G35" s="2">
        <v>0.51041666666666663</v>
      </c>
      <c r="H35" s="2">
        <v>0.53125</v>
      </c>
      <c r="I35" s="2"/>
      <c r="J35" s="2"/>
      <c r="K35" s="2">
        <v>0.60069444444444442</v>
      </c>
      <c r="L35" s="49">
        <f t="shared" si="0"/>
        <v>4.1666666666666685E-2</v>
      </c>
      <c r="M35" s="49"/>
      <c r="N35" s="2"/>
      <c r="O35" s="29"/>
      <c r="P35" s="29"/>
      <c r="Q35" s="50"/>
      <c r="R35" s="51"/>
      <c r="S35" s="4"/>
      <c r="T35" s="31"/>
    </row>
    <row r="36" spans="1:22" s="22" customFormat="1" ht="13" x14ac:dyDescent="0.15">
      <c r="A36" s="17"/>
      <c r="B36" s="48" t="s">
        <v>13</v>
      </c>
      <c r="C36" s="47">
        <v>41881</v>
      </c>
      <c r="D36" s="53"/>
      <c r="E36" s="53"/>
      <c r="F36" s="53"/>
      <c r="G36" s="53"/>
      <c r="H36" s="53"/>
      <c r="I36" s="53"/>
      <c r="J36" s="53"/>
      <c r="K36" s="53"/>
      <c r="L36" s="68">
        <f t="shared" si="0"/>
        <v>0</v>
      </c>
      <c r="M36" s="68"/>
      <c r="N36" s="53"/>
      <c r="O36" s="46"/>
      <c r="P36" s="46"/>
      <c r="Q36" s="69"/>
      <c r="R36" s="70"/>
      <c r="S36" s="5"/>
      <c r="T36" s="31"/>
      <c r="U36" s="57"/>
      <c r="V36" s="25"/>
    </row>
    <row r="37" spans="1:22" s="22" customFormat="1" ht="15" customHeight="1" x14ac:dyDescent="0.15">
      <c r="A37" s="6"/>
      <c r="B37" s="71"/>
      <c r="C37" s="72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4"/>
      <c r="O37" s="74"/>
      <c r="P37" s="74"/>
      <c r="Q37" s="74"/>
      <c r="R37" s="75"/>
      <c r="S37" s="75"/>
      <c r="T37" s="76"/>
      <c r="U37" s="77"/>
    </row>
    <row r="38" spans="1:22" s="22" customFormat="1" ht="13" x14ac:dyDescent="0.15">
      <c r="A38" s="6"/>
      <c r="B38" s="78"/>
      <c r="C38" s="78"/>
      <c r="D38" s="79"/>
      <c r="E38" s="80"/>
      <c r="F38" s="80"/>
      <c r="G38" s="80"/>
      <c r="H38" s="80"/>
      <c r="I38" s="80"/>
      <c r="J38" s="80"/>
      <c r="K38" s="73"/>
      <c r="L38" s="73"/>
      <c r="M38" s="73"/>
      <c r="N38" s="81"/>
      <c r="O38" s="82"/>
      <c r="P38" s="81"/>
      <c r="Q38" s="82"/>
      <c r="R38" s="73"/>
      <c r="S38" s="73"/>
      <c r="T38" s="76"/>
      <c r="U38" s="76"/>
    </row>
    <row r="39" spans="1:22" s="22" customFormat="1" ht="13" x14ac:dyDescent="0.15">
      <c r="A39" s="6"/>
      <c r="B39" s="83"/>
      <c r="C39" s="83"/>
      <c r="D39" s="84"/>
      <c r="E39" s="85"/>
      <c r="F39" s="85"/>
      <c r="G39" s="85"/>
      <c r="H39" s="86"/>
      <c r="I39" s="86"/>
      <c r="J39" s="86"/>
      <c r="K39" s="86"/>
      <c r="L39" s="86"/>
      <c r="M39" s="86"/>
      <c r="N39" s="86"/>
      <c r="O39" s="86"/>
      <c r="P39" s="71"/>
      <c r="Q39" s="73"/>
      <c r="R39" s="71"/>
      <c r="S39" s="73"/>
      <c r="T39" s="76"/>
      <c r="U39" s="76"/>
    </row>
    <row r="40" spans="1:22" s="22" customFormat="1" ht="13" x14ac:dyDescent="0.15">
      <c r="A40" s="6"/>
      <c r="B40" s="78"/>
      <c r="C40" s="78"/>
      <c r="D40" s="74"/>
      <c r="E40" s="87"/>
      <c r="F40" s="87"/>
      <c r="G40" s="87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6"/>
      <c r="U40" s="76"/>
    </row>
    <row r="41" spans="1:22" s="22" customFormat="1" ht="13" x14ac:dyDescent="0.15">
      <c r="A41" s="6"/>
      <c r="B41" s="78"/>
      <c r="C41" s="78"/>
      <c r="D41" s="79"/>
      <c r="E41" s="80"/>
      <c r="F41" s="80"/>
      <c r="G41" s="80"/>
      <c r="H41" s="76"/>
      <c r="I41" s="76"/>
      <c r="J41" s="76"/>
      <c r="K41" s="73"/>
      <c r="L41" s="73"/>
      <c r="M41" s="73"/>
      <c r="N41" s="73"/>
      <c r="O41" s="73"/>
      <c r="P41" s="73"/>
      <c r="Q41" s="73"/>
      <c r="R41" s="73"/>
      <c r="S41" s="73"/>
      <c r="T41" s="76"/>
      <c r="U41" s="76"/>
    </row>
    <row r="42" spans="1:22" s="22" customFormat="1" ht="24.75" customHeight="1" x14ac:dyDescent="0.15">
      <c r="A42" s="6"/>
      <c r="B42" s="88"/>
      <c r="C42" s="88"/>
      <c r="D42" s="89"/>
      <c r="E42" s="90"/>
      <c r="F42" s="91"/>
      <c r="G42" s="92"/>
      <c r="H42" s="93"/>
      <c r="I42" s="93"/>
      <c r="J42" s="93"/>
      <c r="K42" s="73"/>
      <c r="L42" s="73"/>
      <c r="M42" s="73"/>
      <c r="N42" s="73"/>
      <c r="O42" s="73"/>
      <c r="P42" s="73"/>
      <c r="Q42" s="73"/>
      <c r="R42" s="73"/>
      <c r="S42" s="73"/>
      <c r="T42" s="76"/>
      <c r="U42" s="76"/>
    </row>
    <row r="43" spans="1:22" s="22" customFormat="1" ht="13" x14ac:dyDescent="0.15">
      <c r="A43" s="6"/>
      <c r="B43" s="83"/>
      <c r="C43" s="94"/>
      <c r="D43" s="84"/>
      <c r="E43" s="95"/>
      <c r="F43" s="95"/>
      <c r="G43" s="95"/>
      <c r="H43" s="73"/>
      <c r="I43" s="73"/>
      <c r="J43" s="73"/>
      <c r="K43" s="73"/>
      <c r="L43" s="73"/>
      <c r="M43" s="73"/>
      <c r="N43" s="73"/>
      <c r="O43" s="73"/>
      <c r="P43" s="71"/>
      <c r="Q43" s="73"/>
      <c r="R43" s="71"/>
      <c r="S43" s="96"/>
      <c r="T43" s="76"/>
      <c r="U43" s="76"/>
    </row>
    <row r="44" spans="1:22" s="22" customFormat="1" ht="13" x14ac:dyDescent="0.15">
      <c r="A44" s="6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</row>
    <row r="45" spans="1:22" s="22" customFormat="1" ht="13" x14ac:dyDescent="0.15">
      <c r="A45" s="6"/>
      <c r="B45" s="24"/>
      <c r="C45" s="38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24"/>
    </row>
    <row r="46" spans="1:22" s="22" customFormat="1" ht="13" x14ac:dyDescent="0.15">
      <c r="A46" s="6"/>
      <c r="B46" s="58"/>
      <c r="C46" s="58"/>
      <c r="D46" s="58"/>
      <c r="E46" s="58"/>
      <c r="F46" s="58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24"/>
    </row>
    <row r="47" spans="1:22" s="22" customFormat="1" ht="13" x14ac:dyDescent="0.15">
      <c r="A47" s="6"/>
      <c r="B47" s="24"/>
      <c r="C47" s="38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27"/>
      <c r="Q47" s="27"/>
    </row>
    <row r="48" spans="1:22" s="22" customFormat="1" ht="13" x14ac:dyDescent="0.15">
      <c r="A48" s="6"/>
      <c r="B48" s="22" t="s">
        <v>18</v>
      </c>
      <c r="C48" s="26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</row>
    <row r="49" spans="1:17" s="22" customFormat="1" ht="13" x14ac:dyDescent="0.15">
      <c r="A49" s="6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</row>
    <row r="50" spans="1:17" s="22" customFormat="1" ht="13" x14ac:dyDescent="0.15">
      <c r="A50" s="6"/>
      <c r="C50" s="26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</row>
    <row r="51" spans="1:17" s="22" customFormat="1" ht="13" x14ac:dyDescent="0.15">
      <c r="A51" s="6"/>
      <c r="C51" s="26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</row>
    <row r="52" spans="1:17" s="22" customFormat="1" ht="13" x14ac:dyDescent="0.15">
      <c r="A52" s="6"/>
      <c r="C52" s="26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</row>
    <row r="53" spans="1:17" s="22" customFormat="1" ht="13" x14ac:dyDescent="0.15">
      <c r="A53" s="6"/>
      <c r="C53" s="26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</row>
    <row r="54" spans="1:17" s="22" customFormat="1" ht="13" x14ac:dyDescent="0.15">
      <c r="A54" s="6"/>
      <c r="C54" s="26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</row>
    <row r="55" spans="1:17" s="22" customFormat="1" ht="13" x14ac:dyDescent="0.15">
      <c r="A55" s="6"/>
      <c r="C55" s="26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</row>
    <row r="56" spans="1:17" s="22" customFormat="1" ht="13" x14ac:dyDescent="0.15">
      <c r="A56" s="6"/>
      <c r="C56" s="26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</row>
    <row r="57" spans="1:17" s="22" customFormat="1" ht="13" x14ac:dyDescent="0.15">
      <c r="A57" s="6"/>
    </row>
    <row r="58" spans="1:17" s="22" customFormat="1" ht="13" x14ac:dyDescent="0.15">
      <c r="A58" s="6"/>
    </row>
    <row r="59" spans="1:17" s="22" customFormat="1" ht="13" x14ac:dyDescent="0.15">
      <c r="A59" s="6"/>
    </row>
    <row r="60" spans="1:17" s="22" customFormat="1" ht="13" x14ac:dyDescent="0.15">
      <c r="A60" s="6"/>
    </row>
    <row r="61" spans="1:17" s="22" customFormat="1" ht="13" x14ac:dyDescent="0.15">
      <c r="A61" s="6"/>
    </row>
    <row r="62" spans="1:17" s="22" customFormat="1" ht="13" x14ac:dyDescent="0.15">
      <c r="A62" s="6"/>
    </row>
    <row r="63" spans="1:17" s="22" customFormat="1" ht="13" x14ac:dyDescent="0.15">
      <c r="A63" s="6"/>
    </row>
    <row r="64" spans="1:17" s="22" customFormat="1" ht="13" x14ac:dyDescent="0.15">
      <c r="A64" s="6"/>
    </row>
    <row r="65" spans="1:1" s="22" customFormat="1" ht="13" x14ac:dyDescent="0.15">
      <c r="A65" s="6"/>
    </row>
    <row r="66" spans="1:1" s="22" customFormat="1" ht="13" x14ac:dyDescent="0.15">
      <c r="A66" s="6"/>
    </row>
    <row r="67" spans="1:1" s="22" customFormat="1" ht="13" x14ac:dyDescent="0.15">
      <c r="A67" s="6"/>
    </row>
    <row r="68" spans="1:1" s="22" customFormat="1" ht="13" x14ac:dyDescent="0.15">
      <c r="A68" s="6"/>
    </row>
    <row r="69" spans="1:1" s="22" customFormat="1" ht="13" x14ac:dyDescent="0.15">
      <c r="A69" s="6"/>
    </row>
    <row r="70" spans="1:1" s="22" customFormat="1" ht="13" x14ac:dyDescent="0.15">
      <c r="A70" s="6"/>
    </row>
    <row r="71" spans="1:1" s="22" customFormat="1" ht="13" x14ac:dyDescent="0.15">
      <c r="A71" s="6"/>
    </row>
    <row r="72" spans="1:1" s="22" customFormat="1" ht="13" x14ac:dyDescent="0.15">
      <c r="A72" s="6"/>
    </row>
    <row r="73" spans="1:1" s="22" customFormat="1" ht="13" x14ac:dyDescent="0.15">
      <c r="A73" s="6"/>
    </row>
    <row r="74" spans="1:1" s="22" customFormat="1" ht="13" x14ac:dyDescent="0.15">
      <c r="A74" s="6"/>
    </row>
    <row r="75" spans="1:1" s="22" customFormat="1" ht="13" x14ac:dyDescent="0.15">
      <c r="A75" s="6"/>
    </row>
    <row r="76" spans="1:1" s="22" customFormat="1" ht="13" x14ac:dyDescent="0.15">
      <c r="A76" s="6"/>
    </row>
    <row r="77" spans="1:1" s="22" customFormat="1" ht="13" x14ac:dyDescent="0.15">
      <c r="A77" s="6"/>
    </row>
    <row r="78" spans="1:1" s="22" customFormat="1" ht="13" x14ac:dyDescent="0.15">
      <c r="A78" s="6"/>
    </row>
    <row r="79" spans="1:1" s="22" customFormat="1" ht="13" x14ac:dyDescent="0.15">
      <c r="A79" s="6"/>
    </row>
    <row r="80" spans="1:1" s="22" customFormat="1" ht="13" x14ac:dyDescent="0.15">
      <c r="A80" s="6"/>
    </row>
    <row r="81" spans="1:1" s="22" customFormat="1" ht="13" x14ac:dyDescent="0.15">
      <c r="A81" s="6"/>
    </row>
    <row r="82" spans="1:1" s="22" customFormat="1" ht="13" x14ac:dyDescent="0.15">
      <c r="A82" s="6"/>
    </row>
    <row r="83" spans="1:1" s="22" customFormat="1" ht="13" x14ac:dyDescent="0.15">
      <c r="A83" s="6"/>
    </row>
    <row r="84" spans="1:1" s="22" customFormat="1" ht="13" x14ac:dyDescent="0.15">
      <c r="A84" s="6"/>
    </row>
    <row r="85" spans="1:1" s="22" customFormat="1" ht="13" x14ac:dyDescent="0.15">
      <c r="A85" s="6"/>
    </row>
    <row r="86" spans="1:1" s="22" customFormat="1" ht="13" x14ac:dyDescent="0.15">
      <c r="A86" s="6"/>
    </row>
    <row r="87" spans="1:1" s="22" customFormat="1" ht="13" x14ac:dyDescent="0.15">
      <c r="A87" s="6"/>
    </row>
    <row r="88" spans="1:1" s="22" customFormat="1" ht="13" x14ac:dyDescent="0.15">
      <c r="A88" s="6"/>
    </row>
  </sheetData>
  <mergeCells count="13">
    <mergeCell ref="E43:G43"/>
    <mergeCell ref="R2:S2"/>
    <mergeCell ref="B42:C42"/>
    <mergeCell ref="B41:C41"/>
    <mergeCell ref="B38:C38"/>
    <mergeCell ref="H39:O39"/>
    <mergeCell ref="E42:F42"/>
    <mergeCell ref="R37:S37"/>
    <mergeCell ref="B1:M1"/>
    <mergeCell ref="B2:M2"/>
    <mergeCell ref="B3:C3"/>
    <mergeCell ref="D3:H3"/>
    <mergeCell ref="B40:C40"/>
  </mergeCells>
  <phoneticPr fontId="0" type="noConversion"/>
  <conditionalFormatting sqref="B39:C39">
    <cfRule type="cellIs" dxfId="7" priority="4" stopIfTrue="1" operator="equal">
      <formula>"Schuld"</formula>
    </cfRule>
  </conditionalFormatting>
  <conditionalFormatting sqref="L6:M36">
    <cfRule type="cellIs" dxfId="6" priority="3" operator="lessThan">
      <formula>0.000694444444444444</formula>
    </cfRule>
  </conditionalFormatting>
  <conditionalFormatting sqref="N6:N36">
    <cfRule type="cellIs" dxfId="5" priority="2" operator="lessThan">
      <formula>0.000694444444444444</formula>
    </cfRule>
  </conditionalFormatting>
  <conditionalFormatting sqref="B43:C43">
    <cfRule type="cellIs" dxfId="4" priority="1" stopIfTrue="1" operator="equal">
      <formula>"Schuld"</formula>
    </cfRule>
  </conditionalFormatting>
  <printOptions gridLines="1"/>
  <pageMargins left="0.23622047244094491" right="0.23622047244094491" top="0.74803149606299213" bottom="0.74803149606299213" header="0.31496062992125984" footer="0.31496062992125984"/>
  <pageSetup paperSize="9" scale="75" fitToHeight="0" orientation="portrait" horizontalDpi="4294967294" verticalDpi="4294967294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18E83-4A50-6645-B56B-B37D982EB119}">
  <sheetPr codeName="Tabelle10">
    <pageSetUpPr fitToPage="1"/>
  </sheetPr>
  <dimension ref="A1:V88"/>
  <sheetViews>
    <sheetView showGridLines="0" tabSelected="1" topLeftCell="A5" workbookViewId="0">
      <selection activeCell="Q23" sqref="Q23"/>
    </sheetView>
  </sheetViews>
  <sheetFormatPr baseColWidth="10" defaultColWidth="11" defaultRowHeight="14" x14ac:dyDescent="0.15"/>
  <cols>
    <col min="1" max="1" width="3.1640625" style="6" customWidth="1"/>
    <col min="2" max="2" width="8.1640625" customWidth="1"/>
    <col min="3" max="3" width="4.5" customWidth="1"/>
    <col min="4" max="4" width="5.5" customWidth="1"/>
    <col min="5" max="7" width="4.6640625" bestFit="1" customWidth="1"/>
    <col min="8" max="8" width="5" customWidth="1"/>
    <col min="9" max="10" width="4.6640625" bestFit="1" customWidth="1"/>
    <col min="11" max="11" width="4.1640625" customWidth="1"/>
    <col min="12" max="12" width="5.33203125" customWidth="1"/>
    <col min="13" max="13" width="5.6640625" customWidth="1"/>
    <col min="14" max="14" width="5.83203125" customWidth="1"/>
    <col min="15" max="15" width="6.6640625" bestFit="1" customWidth="1"/>
    <col min="16" max="16" width="5.6640625" customWidth="1"/>
    <col min="17" max="17" width="5.1640625" customWidth="1"/>
    <col min="18" max="18" width="6.33203125" customWidth="1"/>
    <col min="19" max="19" width="12.5" customWidth="1"/>
    <col min="20" max="20" width="4.83203125" customWidth="1"/>
    <col min="21" max="21" width="4.5" customWidth="1"/>
    <col min="22" max="22" width="5.5" customWidth="1"/>
  </cols>
  <sheetData>
    <row r="1" spans="1:22" s="9" customFormat="1" ht="18" x14ac:dyDescent="0.2">
      <c r="A1" s="6"/>
      <c r="B1" s="60" t="s">
        <v>19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33"/>
      <c r="O1" s="7"/>
      <c r="P1" s="7"/>
      <c r="Q1" s="8"/>
    </row>
    <row r="2" spans="1:22" s="1" customFormat="1" ht="15.75" customHeight="1" x14ac:dyDescent="0.2">
      <c r="A2" s="6"/>
      <c r="B2" s="62" t="s">
        <v>0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34"/>
      <c r="O2" s="10"/>
      <c r="P2" s="10"/>
      <c r="Q2" s="11"/>
      <c r="R2" s="66" t="s">
        <v>10</v>
      </c>
      <c r="S2" s="67"/>
    </row>
    <row r="3" spans="1:22" s="14" customFormat="1" ht="16" x14ac:dyDescent="0.2">
      <c r="A3" s="42"/>
      <c r="B3" s="64" t="str">
        <f>TEXT(C6, "MMMM")</f>
        <v>August</v>
      </c>
      <c r="C3" s="65"/>
      <c r="D3" s="65" t="s">
        <v>21</v>
      </c>
      <c r="E3" s="65"/>
      <c r="F3" s="65"/>
      <c r="G3" s="65"/>
      <c r="H3" s="65"/>
      <c r="I3" s="35"/>
      <c r="J3" s="35"/>
      <c r="K3" s="12"/>
      <c r="L3" s="12"/>
      <c r="M3" s="12"/>
      <c r="N3" s="12"/>
      <c r="O3" s="12"/>
      <c r="P3" s="12"/>
      <c r="Q3" s="13"/>
      <c r="R3" s="59">
        <f>D43</f>
        <v>0</v>
      </c>
      <c r="S3" s="54"/>
    </row>
    <row r="4" spans="1:22" x14ac:dyDescent="0.15">
      <c r="B4" s="15" t="s">
        <v>20</v>
      </c>
      <c r="C4" s="16"/>
      <c r="D4" s="16"/>
      <c r="E4" s="16"/>
      <c r="F4" s="16"/>
      <c r="G4" s="16"/>
      <c r="H4" s="16"/>
      <c r="I4" s="16"/>
      <c r="J4" s="16"/>
      <c r="K4" s="41">
        <v>1.0416666666666666E-2</v>
      </c>
      <c r="L4" s="41">
        <v>2.0833333333333332E-2</v>
      </c>
      <c r="M4" s="41">
        <v>3.125E-2</v>
      </c>
      <c r="N4" s="41"/>
      <c r="O4" s="41">
        <v>0.24930555555555556</v>
      </c>
      <c r="P4" s="41">
        <v>0.3743055555555555</v>
      </c>
      <c r="Q4" s="17"/>
    </row>
    <row r="5" spans="1:22" s="22" customFormat="1" ht="65.25" customHeight="1" x14ac:dyDescent="0.2">
      <c r="A5" s="6" t="s">
        <v>16</v>
      </c>
      <c r="B5" s="18" t="s">
        <v>1</v>
      </c>
      <c r="C5" s="19" t="s">
        <v>2</v>
      </c>
      <c r="D5" s="20" t="s">
        <v>3</v>
      </c>
      <c r="E5" s="20" t="s">
        <v>12</v>
      </c>
      <c r="F5" s="20" t="s">
        <v>11</v>
      </c>
      <c r="G5" s="20" t="s">
        <v>12</v>
      </c>
      <c r="H5" s="20" t="s">
        <v>11</v>
      </c>
      <c r="I5" s="20" t="s">
        <v>12</v>
      </c>
      <c r="J5" s="20" t="s">
        <v>11</v>
      </c>
      <c r="K5" s="21" t="s">
        <v>4</v>
      </c>
      <c r="L5" s="40" t="s">
        <v>15</v>
      </c>
      <c r="M5" s="32"/>
      <c r="N5" s="32"/>
      <c r="O5" s="32"/>
      <c r="P5" s="32"/>
      <c r="Q5" s="32"/>
      <c r="R5" s="21"/>
      <c r="S5" s="21"/>
      <c r="U5" s="30"/>
      <c r="V5" s="28"/>
    </row>
    <row r="6" spans="1:22" s="22" customFormat="1" ht="13" x14ac:dyDescent="0.15">
      <c r="A6" s="44" t="s">
        <v>17</v>
      </c>
      <c r="B6" s="18" t="s">
        <v>8</v>
      </c>
      <c r="C6" s="23">
        <v>41851</v>
      </c>
      <c r="D6" s="2">
        <v>0.22916666666666666</v>
      </c>
      <c r="E6" s="2">
        <v>0.35416666666666669</v>
      </c>
      <c r="F6" s="2">
        <v>0.375</v>
      </c>
      <c r="G6" s="2">
        <v>0.55208333333333337</v>
      </c>
      <c r="H6" s="2">
        <v>0.5625</v>
      </c>
      <c r="I6" s="2"/>
      <c r="J6" s="2"/>
      <c r="K6" s="2">
        <v>0.67361111111111116</v>
      </c>
      <c r="L6" s="49">
        <f>(J6-I6)+(H6-G6)+(F6-E6)</f>
        <v>3.1249999999999944E-2</v>
      </c>
      <c r="M6" s="49"/>
      <c r="N6" s="2"/>
      <c r="O6" s="29"/>
      <c r="P6" s="29"/>
      <c r="Q6" s="50"/>
      <c r="R6" s="52"/>
      <c r="S6" s="3"/>
      <c r="T6" s="31"/>
    </row>
    <row r="7" spans="1:22" s="22" customFormat="1" ht="13" x14ac:dyDescent="0.15">
      <c r="A7" s="44"/>
      <c r="B7" s="18" t="s">
        <v>9</v>
      </c>
      <c r="C7" s="23">
        <v>41852</v>
      </c>
      <c r="D7" s="2"/>
      <c r="E7" s="2"/>
      <c r="F7" s="2"/>
      <c r="G7" s="2"/>
      <c r="H7" s="2"/>
      <c r="I7" s="2"/>
      <c r="J7" s="2"/>
      <c r="K7" s="2"/>
      <c r="L7" s="49">
        <f t="shared" ref="L7:L36" si="0">(J7-I7)+(H7-G7)+(F7-E7)</f>
        <v>0</v>
      </c>
      <c r="M7" s="49"/>
      <c r="N7" s="2"/>
      <c r="O7" s="29"/>
      <c r="P7" s="29"/>
      <c r="Q7" s="50"/>
      <c r="R7" s="51"/>
      <c r="S7" s="4"/>
      <c r="T7" s="31"/>
    </row>
    <row r="8" spans="1:22" s="22" customFormat="1" ht="13" x14ac:dyDescent="0.15">
      <c r="A8" s="43"/>
      <c r="B8" s="18" t="s">
        <v>13</v>
      </c>
      <c r="C8" s="23">
        <v>41853</v>
      </c>
      <c r="D8" s="2"/>
      <c r="E8" s="2"/>
      <c r="F8" s="2"/>
      <c r="G8" s="2"/>
      <c r="H8" s="2"/>
      <c r="I8" s="2"/>
      <c r="J8" s="2"/>
      <c r="K8" s="2"/>
      <c r="L8" s="49">
        <f t="shared" si="0"/>
        <v>0</v>
      </c>
      <c r="M8" s="49"/>
      <c r="N8" s="2"/>
      <c r="O8" s="29"/>
      <c r="P8" s="29"/>
      <c r="Q8" s="50"/>
      <c r="R8" s="51"/>
      <c r="S8" s="4"/>
      <c r="T8" s="31"/>
    </row>
    <row r="9" spans="1:22" s="22" customFormat="1" ht="13" x14ac:dyDescent="0.15">
      <c r="A9" s="45"/>
      <c r="B9" s="18" t="s">
        <v>14</v>
      </c>
      <c r="C9" s="23">
        <v>41854</v>
      </c>
      <c r="D9" s="2"/>
      <c r="E9" s="2"/>
      <c r="F9" s="2"/>
      <c r="G9" s="2"/>
      <c r="H9" s="2"/>
      <c r="I9" s="2"/>
      <c r="J9" s="2"/>
      <c r="K9" s="2"/>
      <c r="L9" s="49">
        <f t="shared" si="0"/>
        <v>0</v>
      </c>
      <c r="M9" s="49"/>
      <c r="N9" s="2"/>
      <c r="O9" s="29"/>
      <c r="P9" s="29"/>
      <c r="Q9" s="50"/>
      <c r="R9" s="51"/>
      <c r="S9" s="4"/>
      <c r="T9" s="31"/>
      <c r="U9" s="55"/>
      <c r="V9" s="36"/>
    </row>
    <row r="10" spans="1:22" s="22" customFormat="1" ht="13" x14ac:dyDescent="0.15">
      <c r="A10" s="45">
        <v>32</v>
      </c>
      <c r="B10" s="18" t="s">
        <v>5</v>
      </c>
      <c r="C10" s="23">
        <v>41855</v>
      </c>
      <c r="D10" s="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 s="49"/>
      <c r="N10" s="2"/>
      <c r="O10" s="29"/>
      <c r="P10" s="29"/>
      <c r="Q10" s="50"/>
      <c r="R10" s="51"/>
      <c r="S10" s="4"/>
      <c r="T10" s="31"/>
    </row>
    <row r="11" spans="1:22" s="22" customFormat="1" ht="13" x14ac:dyDescent="0.15">
      <c r="A11" s="45"/>
      <c r="B11" s="18" t="s">
        <v>6</v>
      </c>
      <c r="C11" s="23">
        <v>41856</v>
      </c>
      <c r="D11" s="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 s="49"/>
      <c r="N11" s="2"/>
      <c r="O11" s="29"/>
      <c r="P11" s="29"/>
      <c r="Q11" s="50"/>
      <c r="R11" s="51"/>
      <c r="S11" s="4"/>
      <c r="T11" s="31"/>
      <c r="U11" s="36"/>
    </row>
    <row r="12" spans="1:22" s="22" customFormat="1" ht="13" x14ac:dyDescent="0.15">
      <c r="A12" s="45"/>
      <c r="B12" s="18" t="s">
        <v>7</v>
      </c>
      <c r="C12" s="23">
        <v>41857</v>
      </c>
      <c r="D12" s="2">
        <v>0.27083333333333331</v>
      </c>
      <c r="E12" s="2">
        <v>0.35416666666666669</v>
      </c>
      <c r="F12" s="2">
        <v>0.375</v>
      </c>
      <c r="G12" s="2">
        <v>0.57291666666666663</v>
      </c>
      <c r="H12" s="2">
        <v>0.59375</v>
      </c>
      <c r="I12" s="2"/>
      <c r="J12" s="2"/>
      <c r="K12" s="2">
        <v>0.71180555555555547</v>
      </c>
      <c r="L12" s="49">
        <f t="shared" si="0"/>
        <v>4.1666666666666685E-2</v>
      </c>
      <c r="M12" s="49"/>
      <c r="N12" s="2"/>
      <c r="O12" s="29"/>
      <c r="P12" s="29"/>
      <c r="Q12" s="50"/>
      <c r="R12" s="51"/>
      <c r="S12" s="4"/>
      <c r="T12" s="31"/>
    </row>
    <row r="13" spans="1:22" s="22" customFormat="1" ht="13" x14ac:dyDescent="0.15">
      <c r="A13" s="44"/>
      <c r="B13" s="18" t="s">
        <v>8</v>
      </c>
      <c r="C13" s="23">
        <v>41858</v>
      </c>
      <c r="D13" s="2">
        <v>0.33333333333333331</v>
      </c>
      <c r="E13" s="2">
        <v>0.41666666666666669</v>
      </c>
      <c r="F13" s="2">
        <v>0.4375</v>
      </c>
      <c r="G13" s="2"/>
      <c r="H13" s="2"/>
      <c r="I13" s="2"/>
      <c r="J13" s="2"/>
      <c r="K13" s="2">
        <v>0.67708333333333337</v>
      </c>
      <c r="L13" s="49">
        <f t="shared" si="0"/>
        <v>2.0833333333333315E-2</v>
      </c>
      <c r="M13" s="49"/>
      <c r="N13" s="2"/>
      <c r="O13" s="29"/>
      <c r="P13" s="29"/>
      <c r="Q13" s="50"/>
      <c r="R13" s="51"/>
      <c r="S13" s="4"/>
      <c r="T13" s="31"/>
    </row>
    <row r="14" spans="1:22" s="22" customFormat="1" ht="13" x14ac:dyDescent="0.15">
      <c r="A14" s="44"/>
      <c r="B14" s="18" t="s">
        <v>9</v>
      </c>
      <c r="C14" s="23">
        <v>41859</v>
      </c>
      <c r="D14" s="2"/>
      <c r="E14" s="2"/>
      <c r="F14" s="2"/>
      <c r="G14" s="2"/>
      <c r="H14" s="2"/>
      <c r="I14" s="2"/>
      <c r="J14" s="2"/>
      <c r="K14" s="2"/>
      <c r="L14" s="49">
        <f t="shared" si="0"/>
        <v>0</v>
      </c>
      <c r="M14" s="49"/>
      <c r="N14" s="2"/>
      <c r="O14" s="29"/>
      <c r="P14" s="29"/>
      <c r="Q14" s="50"/>
      <c r="R14" s="51"/>
      <c r="S14" s="4"/>
      <c r="T14" s="31"/>
    </row>
    <row r="15" spans="1:22" s="22" customFormat="1" ht="13" x14ac:dyDescent="0.15">
      <c r="A15" s="43"/>
      <c r="B15" s="18" t="s">
        <v>13</v>
      </c>
      <c r="C15" s="23">
        <v>41860</v>
      </c>
      <c r="D15" s="2"/>
      <c r="E15" s="2"/>
      <c r="F15" s="2"/>
      <c r="G15" s="2"/>
      <c r="H15" s="2"/>
      <c r="I15" s="2"/>
      <c r="J15" s="2"/>
      <c r="K15" s="2"/>
      <c r="L15" s="49">
        <f t="shared" si="0"/>
        <v>0</v>
      </c>
      <c r="M15" s="49"/>
      <c r="N15" s="2"/>
      <c r="O15" s="29"/>
      <c r="P15" s="29"/>
      <c r="Q15" s="50"/>
      <c r="R15" s="51"/>
      <c r="S15" s="4"/>
      <c r="T15" s="31"/>
    </row>
    <row r="16" spans="1:22" s="22" customFormat="1" ht="13" x14ac:dyDescent="0.15">
      <c r="A16" s="45"/>
      <c r="B16" s="18" t="s">
        <v>14</v>
      </c>
      <c r="C16" s="23">
        <v>41861</v>
      </c>
      <c r="D16" s="2"/>
      <c r="E16" s="2"/>
      <c r="F16" s="2"/>
      <c r="G16" s="2"/>
      <c r="H16" s="2"/>
      <c r="I16" s="2"/>
      <c r="J16" s="2"/>
      <c r="K16" s="2"/>
      <c r="L16" s="49">
        <f t="shared" si="0"/>
        <v>0</v>
      </c>
      <c r="M16" s="49"/>
      <c r="N16" s="2"/>
      <c r="O16" s="29"/>
      <c r="P16" s="29"/>
      <c r="Q16" s="50"/>
      <c r="R16" s="51"/>
      <c r="S16" s="4"/>
      <c r="T16" s="31"/>
      <c r="U16" s="55"/>
      <c r="V16" s="36"/>
    </row>
    <row r="17" spans="1:22" s="22" customFormat="1" ht="13" x14ac:dyDescent="0.15">
      <c r="A17" s="45">
        <v>33</v>
      </c>
      <c r="B17" s="18" t="s">
        <v>5</v>
      </c>
      <c r="C17" s="23">
        <v>41862</v>
      </c>
      <c r="D17" s="2">
        <v>0.26041666666666669</v>
      </c>
      <c r="E17" s="2">
        <v>0.47916666666666669</v>
      </c>
      <c r="F17" s="2">
        <v>0.5</v>
      </c>
      <c r="G17" s="2">
        <v>0.55208333333333337</v>
      </c>
      <c r="H17" s="2">
        <v>0.5625</v>
      </c>
      <c r="I17" s="2"/>
      <c r="J17" s="2"/>
      <c r="K17" s="2">
        <v>0.68402777777777779</v>
      </c>
      <c r="L17" s="49">
        <f t="shared" si="0"/>
        <v>3.1249999999999944E-2</v>
      </c>
      <c r="M17" s="49"/>
      <c r="N17" s="2"/>
      <c r="O17" s="29"/>
      <c r="P17" s="29"/>
      <c r="Q17" s="50"/>
      <c r="R17" s="51"/>
      <c r="S17" s="4"/>
      <c r="T17" s="31"/>
    </row>
    <row r="18" spans="1:22" s="22" customFormat="1" ht="13" x14ac:dyDescent="0.15">
      <c r="A18" s="45"/>
      <c r="B18" s="18" t="s">
        <v>6</v>
      </c>
      <c r="C18" s="23">
        <v>41863</v>
      </c>
      <c r="D18" s="2">
        <v>0.27083333333333331</v>
      </c>
      <c r="E18" s="2"/>
      <c r="F18" s="2"/>
      <c r="G18" s="2"/>
      <c r="H18" s="2"/>
      <c r="I18" s="2"/>
      <c r="J18" s="2"/>
      <c r="K18" s="2">
        <v>0.44791666666666669</v>
      </c>
      <c r="L18" s="49">
        <f t="shared" si="0"/>
        <v>0</v>
      </c>
      <c r="M18" s="49"/>
      <c r="N18" s="2"/>
      <c r="O18" s="29"/>
      <c r="P18" s="29"/>
      <c r="Q18" s="50"/>
      <c r="R18" s="51"/>
      <c r="S18" s="4"/>
      <c r="T18" s="31"/>
      <c r="U18" s="36"/>
    </row>
    <row r="19" spans="1:22" s="22" customFormat="1" ht="13" x14ac:dyDescent="0.15">
      <c r="A19" s="45"/>
      <c r="B19" s="18" t="s">
        <v>7</v>
      </c>
      <c r="C19" s="23">
        <v>41864</v>
      </c>
      <c r="D19" s="2">
        <v>0.33333333333333331</v>
      </c>
      <c r="E19" s="2">
        <v>0.52083333333333337</v>
      </c>
      <c r="F19" s="2">
        <v>0.54166666666666663</v>
      </c>
      <c r="G19" s="2"/>
      <c r="H19" s="2"/>
      <c r="I19" s="2"/>
      <c r="J19" s="2"/>
      <c r="K19" s="2">
        <v>0.68055555555555547</v>
      </c>
      <c r="L19" s="49">
        <f t="shared" si="0"/>
        <v>2.0833333333333259E-2</v>
      </c>
      <c r="M19" s="49"/>
      <c r="N19" s="2"/>
      <c r="O19" s="29"/>
      <c r="P19" s="29"/>
      <c r="Q19" s="50"/>
      <c r="R19" s="51"/>
      <c r="S19" s="4"/>
      <c r="T19" s="31"/>
    </row>
    <row r="20" spans="1:22" s="22" customFormat="1" ht="13" x14ac:dyDescent="0.15">
      <c r="A20" s="45"/>
      <c r="B20" s="18" t="s">
        <v>8</v>
      </c>
      <c r="C20" s="23">
        <v>41865</v>
      </c>
      <c r="D20" s="2">
        <v>0.27083333333333331</v>
      </c>
      <c r="E20" s="2">
        <v>0.35416666666666669</v>
      </c>
      <c r="F20" s="2">
        <v>0.375</v>
      </c>
      <c r="G20" s="2">
        <v>0.52083333333333337</v>
      </c>
      <c r="H20" s="2">
        <v>0.54166666666666663</v>
      </c>
      <c r="I20" s="2"/>
      <c r="J20" s="2"/>
      <c r="K20" s="2">
        <v>0.66666666666666663</v>
      </c>
      <c r="L20" s="49">
        <f t="shared" si="0"/>
        <v>4.1666666666666574E-2</v>
      </c>
      <c r="M20" s="49"/>
      <c r="N20" s="2"/>
      <c r="O20" s="29"/>
      <c r="P20" s="29"/>
      <c r="Q20" s="50"/>
      <c r="R20" s="51"/>
      <c r="S20" s="4"/>
      <c r="T20" s="31"/>
    </row>
    <row r="21" spans="1:22" s="22" customFormat="1" ht="13" x14ac:dyDescent="0.15">
      <c r="A21" s="45"/>
      <c r="B21" s="18" t="s">
        <v>9</v>
      </c>
      <c r="C21" s="23">
        <v>41866</v>
      </c>
      <c r="D21" s="2">
        <v>0.22916666666666666</v>
      </c>
      <c r="E21" s="2">
        <v>0.39930555555555558</v>
      </c>
      <c r="F21" s="2">
        <v>0.4201388888888889</v>
      </c>
      <c r="G21" s="2">
        <v>0.51041666666666663</v>
      </c>
      <c r="H21" s="2">
        <v>0.53125</v>
      </c>
      <c r="I21" s="2"/>
      <c r="J21" s="2"/>
      <c r="K21" s="2">
        <v>0.60763888888888895</v>
      </c>
      <c r="L21" s="49">
        <f t="shared" si="0"/>
        <v>4.1666666666666685E-2</v>
      </c>
      <c r="M21" s="49"/>
      <c r="N21" s="2"/>
      <c r="O21" s="29"/>
      <c r="P21" s="29"/>
      <c r="Q21" s="50"/>
      <c r="R21" s="51"/>
      <c r="S21" s="4"/>
      <c r="T21" s="31"/>
    </row>
    <row r="22" spans="1:22" s="22" customFormat="1" ht="13" x14ac:dyDescent="0.15">
      <c r="A22" s="45"/>
      <c r="B22" s="18" t="s">
        <v>13</v>
      </c>
      <c r="C22" s="23">
        <v>41867</v>
      </c>
      <c r="D22" s="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 s="49"/>
      <c r="N22" s="2"/>
      <c r="O22" s="29"/>
      <c r="P22" s="29"/>
      <c r="Q22" s="50"/>
      <c r="R22" s="51"/>
      <c r="S22" s="4"/>
      <c r="T22" s="31"/>
    </row>
    <row r="23" spans="1:22" s="22" customFormat="1" ht="13" x14ac:dyDescent="0.15">
      <c r="A23" s="45"/>
      <c r="B23" s="18" t="s">
        <v>14</v>
      </c>
      <c r="C23" s="23">
        <v>41868</v>
      </c>
      <c r="D23" s="2"/>
      <c r="E23" s="2"/>
      <c r="F23" s="2"/>
      <c r="G23" s="2"/>
      <c r="H23" s="2"/>
      <c r="I23" s="2"/>
      <c r="J23" s="2"/>
      <c r="K23" s="2"/>
      <c r="L23" s="49">
        <f t="shared" si="0"/>
        <v>0</v>
      </c>
      <c r="M23" s="49"/>
      <c r="N23" s="2"/>
      <c r="O23" s="29"/>
      <c r="P23" s="29"/>
      <c r="Q23" s="50"/>
      <c r="R23" s="51"/>
      <c r="S23" s="4"/>
      <c r="T23" s="31"/>
      <c r="U23" s="55"/>
      <c r="V23" s="36"/>
    </row>
    <row r="24" spans="1:22" s="22" customFormat="1" ht="13" x14ac:dyDescent="0.15">
      <c r="A24" s="45">
        <v>34</v>
      </c>
      <c r="B24" s="18" t="s">
        <v>5</v>
      </c>
      <c r="C24" s="23">
        <v>41869</v>
      </c>
      <c r="D24" s="2">
        <v>0.22916666666666666</v>
      </c>
      <c r="E24" s="2">
        <v>0.34722222222222227</v>
      </c>
      <c r="F24" s="2">
        <v>0.36805555555555558</v>
      </c>
      <c r="G24" s="2">
        <v>0.5</v>
      </c>
      <c r="H24" s="2">
        <v>0.52083333333333337</v>
      </c>
      <c r="I24" s="2"/>
      <c r="J24" s="2"/>
      <c r="K24" s="2">
        <v>0.66666666666666663</v>
      </c>
      <c r="L24" s="49">
        <f t="shared" si="0"/>
        <v>4.1666666666666685E-2</v>
      </c>
      <c r="M24" s="49"/>
      <c r="N24" s="2"/>
      <c r="O24" s="29"/>
      <c r="P24" s="29"/>
      <c r="Q24" s="50"/>
      <c r="R24" s="51"/>
      <c r="S24" s="4"/>
      <c r="T24" s="31"/>
    </row>
    <row r="25" spans="1:22" s="22" customFormat="1" ht="13" x14ac:dyDescent="0.15">
      <c r="A25" s="44"/>
      <c r="B25" s="18" t="s">
        <v>6</v>
      </c>
      <c r="C25" s="23">
        <v>41870</v>
      </c>
      <c r="D25" s="2">
        <v>0.27083333333333331</v>
      </c>
      <c r="E25" s="2">
        <v>0.35416666666666669</v>
      </c>
      <c r="F25" s="2">
        <v>0.375</v>
      </c>
      <c r="G25" s="2">
        <v>0.54166666666666663</v>
      </c>
      <c r="H25" s="2">
        <v>0.5625</v>
      </c>
      <c r="I25" s="2"/>
      <c r="J25" s="2"/>
      <c r="K25" s="2">
        <v>0.70833333333333337</v>
      </c>
      <c r="L25" s="49">
        <f t="shared" si="0"/>
        <v>4.1666666666666685E-2</v>
      </c>
      <c r="M25" s="49"/>
      <c r="N25" s="2"/>
      <c r="O25" s="29"/>
      <c r="P25" s="29"/>
      <c r="Q25" s="50"/>
      <c r="R25" s="51"/>
      <c r="S25" s="4"/>
      <c r="T25" s="31"/>
      <c r="U25" s="37"/>
    </row>
    <row r="26" spans="1:22" s="22" customFormat="1" ht="13" x14ac:dyDescent="0.15">
      <c r="A26" s="43"/>
      <c r="B26" s="18" t="s">
        <v>7</v>
      </c>
      <c r="C26" s="23">
        <v>41871</v>
      </c>
      <c r="D26" s="2">
        <v>0.27083333333333331</v>
      </c>
      <c r="E26" s="2">
        <v>0.35416666666666669</v>
      </c>
      <c r="F26" s="2">
        <v>0.375</v>
      </c>
      <c r="G26" s="2">
        <v>0.54861111111111105</v>
      </c>
      <c r="H26" s="2">
        <v>0.56944444444444442</v>
      </c>
      <c r="I26" s="2"/>
      <c r="J26" s="2"/>
      <c r="K26" s="2">
        <v>0.71180555555555547</v>
      </c>
      <c r="L26" s="49">
        <f t="shared" si="0"/>
        <v>4.1666666666666685E-2</v>
      </c>
      <c r="M26" s="49"/>
      <c r="N26" s="2"/>
      <c r="O26" s="29"/>
      <c r="P26" s="29"/>
      <c r="Q26" s="50"/>
      <c r="R26" s="51"/>
      <c r="S26" s="4"/>
      <c r="T26" s="31"/>
    </row>
    <row r="27" spans="1:22" s="22" customFormat="1" ht="13" x14ac:dyDescent="0.15">
      <c r="A27" s="45"/>
      <c r="B27" s="18" t="s">
        <v>8</v>
      </c>
      <c r="C27" s="23">
        <v>41872</v>
      </c>
      <c r="D27" s="2">
        <v>0.33333333333333331</v>
      </c>
      <c r="E27" s="2">
        <v>0.5625</v>
      </c>
      <c r="F27" s="2">
        <v>0.58333333333333337</v>
      </c>
      <c r="G27" s="2"/>
      <c r="H27" s="2"/>
      <c r="I27" s="2"/>
      <c r="J27" s="2"/>
      <c r="K27" s="2">
        <v>0.69097222222222221</v>
      </c>
      <c r="L27" s="49">
        <f t="shared" si="0"/>
        <v>2.083333333333337E-2</v>
      </c>
      <c r="M27" s="49"/>
      <c r="N27" s="2"/>
      <c r="O27" s="29"/>
      <c r="P27" s="29"/>
      <c r="Q27" s="50"/>
      <c r="R27" s="51"/>
      <c r="S27" s="4"/>
      <c r="T27" s="31"/>
    </row>
    <row r="28" spans="1:22" s="22" customFormat="1" ht="13" x14ac:dyDescent="0.15">
      <c r="A28" s="45"/>
      <c r="B28" s="18" t="s">
        <v>9</v>
      </c>
      <c r="C28" s="23">
        <v>41873</v>
      </c>
      <c r="D28" s="2">
        <v>0.22916666666666666</v>
      </c>
      <c r="E28" s="2"/>
      <c r="F28" s="2"/>
      <c r="G28" s="2"/>
      <c r="H28" s="2"/>
      <c r="I28" s="2"/>
      <c r="J28" s="2"/>
      <c r="K28" s="2">
        <v>0.35416666666666669</v>
      </c>
      <c r="L28" s="49">
        <f t="shared" si="0"/>
        <v>0</v>
      </c>
      <c r="M28" s="49"/>
      <c r="N28" s="2"/>
      <c r="O28" s="29"/>
      <c r="P28" s="29"/>
      <c r="Q28" s="50"/>
      <c r="R28" s="51"/>
      <c r="S28" s="4"/>
      <c r="T28" s="31"/>
    </row>
    <row r="29" spans="1:22" s="22" customFormat="1" ht="13" x14ac:dyDescent="0.15">
      <c r="A29" s="45"/>
      <c r="B29" s="18" t="s">
        <v>13</v>
      </c>
      <c r="C29" s="23">
        <v>41874</v>
      </c>
      <c r="D29" s="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 s="49"/>
      <c r="N29" s="2"/>
      <c r="O29" s="29"/>
      <c r="P29" s="29"/>
      <c r="Q29" s="50"/>
      <c r="R29" s="51"/>
      <c r="S29" s="4"/>
      <c r="T29" s="31"/>
    </row>
    <row r="30" spans="1:22" s="22" customFormat="1" ht="13" x14ac:dyDescent="0.15">
      <c r="A30" s="45"/>
      <c r="B30" s="18" t="s">
        <v>14</v>
      </c>
      <c r="C30" s="23">
        <v>41875</v>
      </c>
      <c r="D30" s="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 s="49"/>
      <c r="N30" s="2"/>
      <c r="O30" s="29"/>
      <c r="P30" s="29"/>
      <c r="Q30" s="50"/>
      <c r="R30" s="51"/>
      <c r="S30" s="4"/>
      <c r="T30" s="31"/>
      <c r="U30" s="56"/>
      <c r="V30" s="37"/>
    </row>
    <row r="31" spans="1:22" s="22" customFormat="1" ht="13" x14ac:dyDescent="0.15">
      <c r="A31" s="45">
        <v>35</v>
      </c>
      <c r="B31" s="18" t="s">
        <v>5</v>
      </c>
      <c r="C31" s="23">
        <v>41876</v>
      </c>
      <c r="D31" s="2">
        <v>0.22916666666666666</v>
      </c>
      <c r="E31" s="2">
        <v>0.3263888888888889</v>
      </c>
      <c r="F31" s="2">
        <v>0.34722222222222227</v>
      </c>
      <c r="G31" s="2">
        <v>0.47916666666666669</v>
      </c>
      <c r="H31" s="2">
        <v>0.5</v>
      </c>
      <c r="I31" s="2"/>
      <c r="J31" s="2"/>
      <c r="K31" s="2">
        <v>0.67708333333333337</v>
      </c>
      <c r="L31" s="49">
        <f t="shared" si="0"/>
        <v>4.1666666666666685E-2</v>
      </c>
      <c r="M31" s="49"/>
      <c r="N31" s="2"/>
      <c r="O31" s="29"/>
      <c r="P31" s="29"/>
      <c r="Q31" s="50"/>
      <c r="R31" s="51"/>
      <c r="S31" s="4"/>
      <c r="T31" s="31"/>
    </row>
    <row r="32" spans="1:22" s="22" customFormat="1" ht="13" x14ac:dyDescent="0.15">
      <c r="A32" s="45"/>
      <c r="B32" s="18" t="s">
        <v>6</v>
      </c>
      <c r="C32" s="23">
        <v>41877</v>
      </c>
      <c r="D32" s="2">
        <v>0.32291666666666669</v>
      </c>
      <c r="E32" s="2">
        <v>0.54166666666666663</v>
      </c>
      <c r="F32" s="2">
        <v>0.5625</v>
      </c>
      <c r="G32" s="2"/>
      <c r="H32" s="2"/>
      <c r="I32" s="2"/>
      <c r="J32" s="2"/>
      <c r="K32" s="2">
        <v>0.68402777777777779</v>
      </c>
      <c r="L32" s="49">
        <f t="shared" si="0"/>
        <v>2.083333333333337E-2</v>
      </c>
      <c r="M32" s="49"/>
      <c r="N32" s="2"/>
      <c r="O32" s="29"/>
      <c r="P32" s="29"/>
      <c r="Q32" s="50"/>
      <c r="R32" s="51"/>
      <c r="S32" s="4"/>
      <c r="T32" s="31"/>
      <c r="U32" s="36"/>
    </row>
    <row r="33" spans="1:22" s="22" customFormat="1" ht="13" x14ac:dyDescent="0.15">
      <c r="A33" s="45"/>
      <c r="B33" s="18" t="s">
        <v>7</v>
      </c>
      <c r="C33" s="23">
        <v>41878</v>
      </c>
      <c r="D33" s="2">
        <v>0.22916666666666666</v>
      </c>
      <c r="E33" s="2">
        <v>0.35416666666666669</v>
      </c>
      <c r="F33" s="2">
        <v>0.375</v>
      </c>
      <c r="G33" s="2">
        <v>0.53472222222222221</v>
      </c>
      <c r="H33" s="2">
        <v>0.55555555555555558</v>
      </c>
      <c r="I33" s="2"/>
      <c r="J33" s="2"/>
      <c r="K33" s="2">
        <v>0.66319444444444442</v>
      </c>
      <c r="L33" s="49">
        <f t="shared" si="0"/>
        <v>4.1666666666666685E-2</v>
      </c>
      <c r="M33" s="49"/>
      <c r="N33" s="2"/>
      <c r="O33" s="29"/>
      <c r="P33" s="29"/>
      <c r="Q33" s="50"/>
      <c r="R33" s="51"/>
      <c r="S33" s="4"/>
      <c r="T33" s="31"/>
    </row>
    <row r="34" spans="1:22" s="22" customFormat="1" ht="13" x14ac:dyDescent="0.15">
      <c r="A34" s="45"/>
      <c r="B34" s="18" t="s">
        <v>8</v>
      </c>
      <c r="C34" s="23">
        <v>41879</v>
      </c>
      <c r="D34" s="2">
        <v>0.33333333333333331</v>
      </c>
      <c r="E34" s="2">
        <v>0.54166666666666663</v>
      </c>
      <c r="F34" s="2">
        <v>0.5625</v>
      </c>
      <c r="G34" s="2"/>
      <c r="H34" s="2"/>
      <c r="I34" s="2"/>
      <c r="J34" s="2"/>
      <c r="K34" s="2">
        <v>0.68402777777777779</v>
      </c>
      <c r="L34" s="49">
        <f t="shared" si="0"/>
        <v>2.083333333333337E-2</v>
      </c>
      <c r="M34" s="49"/>
      <c r="N34" s="2"/>
      <c r="O34" s="29"/>
      <c r="P34" s="29"/>
      <c r="Q34" s="50"/>
      <c r="R34" s="51"/>
      <c r="S34" s="4"/>
      <c r="T34" s="31"/>
    </row>
    <row r="35" spans="1:22" s="22" customFormat="1" ht="13" x14ac:dyDescent="0.15">
      <c r="A35" s="45"/>
      <c r="B35" s="18" t="s">
        <v>9</v>
      </c>
      <c r="C35" s="23">
        <v>41880</v>
      </c>
      <c r="D35" s="2">
        <v>0.22916666666666666</v>
      </c>
      <c r="E35" s="2">
        <v>0.35416666666666669</v>
      </c>
      <c r="F35" s="2">
        <v>0.375</v>
      </c>
      <c r="G35" s="2">
        <v>0.51041666666666663</v>
      </c>
      <c r="H35" s="2">
        <v>0.53125</v>
      </c>
      <c r="I35" s="2"/>
      <c r="J35" s="2"/>
      <c r="K35" s="2">
        <v>0.60069444444444442</v>
      </c>
      <c r="L35" s="49">
        <f t="shared" si="0"/>
        <v>4.1666666666666685E-2</v>
      </c>
      <c r="M35" s="49"/>
      <c r="N35" s="2"/>
      <c r="O35" s="29"/>
      <c r="P35" s="29"/>
      <c r="Q35" s="50"/>
      <c r="R35" s="51"/>
      <c r="S35" s="4"/>
      <c r="T35" s="31"/>
    </row>
    <row r="36" spans="1:22" s="22" customFormat="1" ht="13" x14ac:dyDescent="0.15">
      <c r="A36" s="17"/>
      <c r="B36" s="48" t="s">
        <v>13</v>
      </c>
      <c r="C36" s="47">
        <v>41881</v>
      </c>
      <c r="D36" s="53"/>
      <c r="E36" s="53"/>
      <c r="F36" s="53"/>
      <c r="G36" s="53"/>
      <c r="H36" s="53"/>
      <c r="I36" s="53"/>
      <c r="J36" s="53"/>
      <c r="K36" s="53"/>
      <c r="L36" s="68">
        <f t="shared" si="0"/>
        <v>0</v>
      </c>
      <c r="M36" s="68"/>
      <c r="N36" s="53"/>
      <c r="O36" s="46"/>
      <c r="P36" s="46"/>
      <c r="Q36" s="69"/>
      <c r="R36" s="70"/>
      <c r="S36" s="5"/>
      <c r="T36" s="31"/>
      <c r="U36" s="57"/>
      <c r="V36" s="25"/>
    </row>
    <row r="37" spans="1:22" s="22" customFormat="1" ht="15" customHeight="1" x14ac:dyDescent="0.15">
      <c r="A37" s="6"/>
      <c r="B37" s="71"/>
      <c r="C37" s="72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4"/>
      <c r="O37" s="74"/>
      <c r="P37" s="74"/>
      <c r="Q37" s="74"/>
      <c r="R37" s="75"/>
      <c r="S37" s="75"/>
      <c r="T37" s="76"/>
      <c r="U37" s="77"/>
    </row>
    <row r="38" spans="1:22" s="22" customFormat="1" ht="13" x14ac:dyDescent="0.15">
      <c r="A38" s="6"/>
      <c r="B38" s="78"/>
      <c r="C38" s="78"/>
      <c r="D38" s="79"/>
      <c r="E38" s="80"/>
      <c r="F38" s="80"/>
      <c r="G38" s="80"/>
      <c r="H38" s="80"/>
      <c r="I38" s="80"/>
      <c r="J38" s="80"/>
      <c r="K38" s="73"/>
      <c r="L38" s="73"/>
      <c r="M38" s="73"/>
      <c r="N38" s="81"/>
      <c r="O38" s="82"/>
      <c r="P38" s="81"/>
      <c r="Q38" s="82"/>
      <c r="R38" s="73"/>
      <c r="S38" s="73"/>
      <c r="T38" s="76"/>
      <c r="U38" s="76"/>
    </row>
    <row r="39" spans="1:22" s="22" customFormat="1" ht="13" x14ac:dyDescent="0.15">
      <c r="A39" s="6"/>
      <c r="B39" s="83"/>
      <c r="C39" s="83"/>
      <c r="D39" s="84"/>
      <c r="E39" s="85"/>
      <c r="F39" s="85"/>
      <c r="G39" s="85"/>
      <c r="H39" s="86"/>
      <c r="I39" s="86"/>
      <c r="J39" s="86"/>
      <c r="K39" s="86"/>
      <c r="L39" s="86"/>
      <c r="M39" s="86"/>
      <c r="N39" s="86"/>
      <c r="O39" s="86"/>
      <c r="P39" s="71"/>
      <c r="Q39" s="73"/>
      <c r="R39" s="71"/>
      <c r="S39" s="73"/>
      <c r="T39" s="76"/>
      <c r="U39" s="76"/>
    </row>
    <row r="40" spans="1:22" s="22" customFormat="1" ht="13" x14ac:dyDescent="0.15">
      <c r="A40" s="6"/>
      <c r="B40" s="78"/>
      <c r="C40" s="78"/>
      <c r="D40" s="74"/>
      <c r="E40" s="87"/>
      <c r="F40" s="87"/>
      <c r="G40" s="87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6"/>
      <c r="U40" s="76"/>
    </row>
    <row r="41" spans="1:22" s="22" customFormat="1" ht="13" x14ac:dyDescent="0.15">
      <c r="A41" s="6"/>
      <c r="B41" s="78"/>
      <c r="C41" s="78"/>
      <c r="D41" s="79"/>
      <c r="E41" s="80"/>
      <c r="F41" s="80"/>
      <c r="G41" s="80"/>
      <c r="H41" s="76"/>
      <c r="I41" s="76"/>
      <c r="J41" s="76"/>
      <c r="K41" s="73"/>
      <c r="L41" s="73"/>
      <c r="M41" s="73"/>
      <c r="N41" s="73"/>
      <c r="O41" s="73"/>
      <c r="P41" s="73"/>
      <c r="Q41" s="73"/>
      <c r="R41" s="73"/>
      <c r="S41" s="73"/>
      <c r="T41" s="76"/>
      <c r="U41" s="76"/>
    </row>
    <row r="42" spans="1:22" s="22" customFormat="1" ht="24.75" customHeight="1" x14ac:dyDescent="0.15">
      <c r="A42" s="6"/>
      <c r="B42" s="88"/>
      <c r="C42" s="88"/>
      <c r="D42" s="89"/>
      <c r="E42" s="90"/>
      <c r="F42" s="91"/>
      <c r="G42" s="92"/>
      <c r="H42" s="93"/>
      <c r="I42" s="93"/>
      <c r="J42" s="93"/>
      <c r="K42" s="73"/>
      <c r="L42" s="73"/>
      <c r="M42" s="73"/>
      <c r="N42" s="73"/>
      <c r="O42" s="73"/>
      <c r="P42" s="73"/>
      <c r="Q42" s="73"/>
      <c r="R42" s="73"/>
      <c r="S42" s="73"/>
      <c r="T42" s="76"/>
      <c r="U42" s="76"/>
    </row>
    <row r="43" spans="1:22" s="22" customFormat="1" ht="13" x14ac:dyDescent="0.15">
      <c r="A43" s="6"/>
      <c r="B43" s="83"/>
      <c r="C43" s="94"/>
      <c r="D43" s="84"/>
      <c r="E43" s="95"/>
      <c r="F43" s="95"/>
      <c r="G43" s="95"/>
      <c r="H43" s="73"/>
      <c r="I43" s="73"/>
      <c r="J43" s="73"/>
      <c r="K43" s="73"/>
      <c r="L43" s="73"/>
      <c r="M43" s="73"/>
      <c r="N43" s="73"/>
      <c r="O43" s="73"/>
      <c r="P43" s="71"/>
      <c r="Q43" s="73"/>
      <c r="R43" s="71"/>
      <c r="S43" s="96"/>
      <c r="T43" s="76"/>
      <c r="U43" s="76"/>
    </row>
    <row r="44" spans="1:22" s="22" customFormat="1" ht="13" x14ac:dyDescent="0.15">
      <c r="A44" s="6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</row>
    <row r="45" spans="1:22" s="22" customFormat="1" ht="13" x14ac:dyDescent="0.15">
      <c r="A45" s="6"/>
      <c r="B45" s="24"/>
      <c r="C45" s="38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24"/>
    </row>
    <row r="46" spans="1:22" s="22" customFormat="1" ht="13" x14ac:dyDescent="0.15">
      <c r="A46" s="6"/>
      <c r="B46" s="58"/>
      <c r="C46" s="58"/>
      <c r="D46" s="58"/>
      <c r="E46" s="58"/>
      <c r="F46" s="58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24"/>
    </row>
    <row r="47" spans="1:22" s="22" customFormat="1" ht="13" x14ac:dyDescent="0.15">
      <c r="A47" s="6"/>
      <c r="B47" s="24"/>
      <c r="C47" s="38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27"/>
      <c r="Q47" s="27"/>
    </row>
    <row r="48" spans="1:22" s="22" customFormat="1" ht="13" x14ac:dyDescent="0.15">
      <c r="A48" s="6"/>
      <c r="B48" s="22" t="s">
        <v>18</v>
      </c>
      <c r="C48" s="26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</row>
    <row r="49" spans="1:17" s="22" customFormat="1" ht="13" x14ac:dyDescent="0.15">
      <c r="A49" s="6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</row>
    <row r="50" spans="1:17" s="22" customFormat="1" ht="13" x14ac:dyDescent="0.15">
      <c r="A50" s="6"/>
      <c r="C50" s="26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</row>
    <row r="51" spans="1:17" s="22" customFormat="1" ht="13" x14ac:dyDescent="0.15">
      <c r="A51" s="6"/>
      <c r="C51" s="26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</row>
    <row r="52" spans="1:17" s="22" customFormat="1" ht="13" x14ac:dyDescent="0.15">
      <c r="A52" s="6"/>
      <c r="C52" s="26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</row>
    <row r="53" spans="1:17" s="22" customFormat="1" ht="13" x14ac:dyDescent="0.15">
      <c r="A53" s="6"/>
      <c r="C53" s="26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</row>
    <row r="54" spans="1:17" s="22" customFormat="1" ht="13" x14ac:dyDescent="0.15">
      <c r="A54" s="6"/>
      <c r="C54" s="26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</row>
    <row r="55" spans="1:17" s="22" customFormat="1" ht="13" x14ac:dyDescent="0.15">
      <c r="A55" s="6"/>
      <c r="C55" s="26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</row>
    <row r="56" spans="1:17" s="22" customFormat="1" ht="13" x14ac:dyDescent="0.15">
      <c r="A56" s="6"/>
      <c r="C56" s="26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</row>
    <row r="57" spans="1:17" s="22" customFormat="1" ht="13" x14ac:dyDescent="0.15">
      <c r="A57" s="6"/>
    </row>
    <row r="58" spans="1:17" s="22" customFormat="1" ht="13" x14ac:dyDescent="0.15">
      <c r="A58" s="6"/>
    </row>
    <row r="59" spans="1:17" s="22" customFormat="1" ht="13" x14ac:dyDescent="0.15">
      <c r="A59" s="6"/>
    </row>
    <row r="60" spans="1:17" s="22" customFormat="1" ht="13" x14ac:dyDescent="0.15">
      <c r="A60" s="6"/>
    </row>
    <row r="61" spans="1:17" s="22" customFormat="1" ht="13" x14ac:dyDescent="0.15">
      <c r="A61" s="6"/>
    </row>
    <row r="62" spans="1:17" s="22" customFormat="1" ht="13" x14ac:dyDescent="0.15">
      <c r="A62" s="6"/>
    </row>
    <row r="63" spans="1:17" s="22" customFormat="1" ht="13" x14ac:dyDescent="0.15">
      <c r="A63" s="6"/>
    </row>
    <row r="64" spans="1:17" s="22" customFormat="1" ht="13" x14ac:dyDescent="0.15">
      <c r="A64" s="6"/>
    </row>
    <row r="65" spans="1:1" s="22" customFormat="1" ht="13" x14ac:dyDescent="0.15">
      <c r="A65" s="6"/>
    </row>
    <row r="66" spans="1:1" s="22" customFormat="1" ht="13" x14ac:dyDescent="0.15">
      <c r="A66" s="6"/>
    </row>
    <row r="67" spans="1:1" s="22" customFormat="1" ht="13" x14ac:dyDescent="0.15">
      <c r="A67" s="6"/>
    </row>
    <row r="68" spans="1:1" s="22" customFormat="1" ht="13" x14ac:dyDescent="0.15">
      <c r="A68" s="6"/>
    </row>
    <row r="69" spans="1:1" s="22" customFormat="1" ht="13" x14ac:dyDescent="0.15">
      <c r="A69" s="6"/>
    </row>
    <row r="70" spans="1:1" s="22" customFormat="1" ht="13" x14ac:dyDescent="0.15">
      <c r="A70" s="6"/>
    </row>
    <row r="71" spans="1:1" s="22" customFormat="1" ht="13" x14ac:dyDescent="0.15">
      <c r="A71" s="6"/>
    </row>
    <row r="72" spans="1:1" s="22" customFormat="1" ht="13" x14ac:dyDescent="0.15">
      <c r="A72" s="6"/>
    </row>
    <row r="73" spans="1:1" s="22" customFormat="1" ht="13" x14ac:dyDescent="0.15">
      <c r="A73" s="6"/>
    </row>
    <row r="74" spans="1:1" s="22" customFormat="1" ht="13" x14ac:dyDescent="0.15">
      <c r="A74" s="6"/>
    </row>
    <row r="75" spans="1:1" s="22" customFormat="1" ht="13" x14ac:dyDescent="0.15">
      <c r="A75" s="6"/>
    </row>
    <row r="76" spans="1:1" s="22" customFormat="1" ht="13" x14ac:dyDescent="0.15">
      <c r="A76" s="6"/>
    </row>
    <row r="77" spans="1:1" s="22" customFormat="1" ht="13" x14ac:dyDescent="0.15">
      <c r="A77" s="6"/>
    </row>
    <row r="78" spans="1:1" s="22" customFormat="1" ht="13" x14ac:dyDescent="0.15">
      <c r="A78" s="6"/>
    </row>
    <row r="79" spans="1:1" s="22" customFormat="1" ht="13" x14ac:dyDescent="0.15">
      <c r="A79" s="6"/>
    </row>
    <row r="80" spans="1:1" s="22" customFormat="1" ht="13" x14ac:dyDescent="0.15">
      <c r="A80" s="6"/>
    </row>
    <row r="81" spans="1:1" s="22" customFormat="1" ht="13" x14ac:dyDescent="0.15">
      <c r="A81" s="6"/>
    </row>
    <row r="82" spans="1:1" s="22" customFormat="1" ht="13" x14ac:dyDescent="0.15">
      <c r="A82" s="6"/>
    </row>
    <row r="83" spans="1:1" s="22" customFormat="1" ht="13" x14ac:dyDescent="0.15">
      <c r="A83" s="6"/>
    </row>
    <row r="84" spans="1:1" s="22" customFormat="1" ht="13" x14ac:dyDescent="0.15">
      <c r="A84" s="6"/>
    </row>
    <row r="85" spans="1:1" s="22" customFormat="1" ht="13" x14ac:dyDescent="0.15">
      <c r="A85" s="6"/>
    </row>
    <row r="86" spans="1:1" s="22" customFormat="1" ht="13" x14ac:dyDescent="0.15">
      <c r="A86" s="6"/>
    </row>
    <row r="87" spans="1:1" s="22" customFormat="1" ht="13" x14ac:dyDescent="0.15">
      <c r="A87" s="6"/>
    </row>
    <row r="88" spans="1:1" s="22" customFormat="1" ht="13" x14ac:dyDescent="0.15">
      <c r="A88" s="6"/>
    </row>
  </sheetData>
  <mergeCells count="13">
    <mergeCell ref="E43:G43"/>
    <mergeCell ref="B38:C38"/>
    <mergeCell ref="H39:O39"/>
    <mergeCell ref="B40:C40"/>
    <mergeCell ref="B41:C41"/>
    <mergeCell ref="B42:C42"/>
    <mergeCell ref="E42:F42"/>
    <mergeCell ref="B1:M1"/>
    <mergeCell ref="B2:M2"/>
    <mergeCell ref="R2:S2"/>
    <mergeCell ref="B3:C3"/>
    <mergeCell ref="D3:H3"/>
    <mergeCell ref="R37:S37"/>
  </mergeCells>
  <conditionalFormatting sqref="B39:C39">
    <cfRule type="cellIs" dxfId="3" priority="4" stopIfTrue="1" operator="equal">
      <formula>"Schuld"</formula>
    </cfRule>
  </conditionalFormatting>
  <conditionalFormatting sqref="L6:M36">
    <cfRule type="cellIs" dxfId="2" priority="3" operator="lessThan">
      <formula>0.000694444444444444</formula>
    </cfRule>
  </conditionalFormatting>
  <conditionalFormatting sqref="N6:N36">
    <cfRule type="cellIs" dxfId="1" priority="2" operator="lessThan">
      <formula>0.000694444444444444</formula>
    </cfRule>
  </conditionalFormatting>
  <conditionalFormatting sqref="B43:C43">
    <cfRule type="cellIs" dxfId="0" priority="1" stopIfTrue="1" operator="equal">
      <formula>"Schuld"</formula>
    </cfRule>
  </conditionalFormatting>
  <printOptions gridLines="1"/>
  <pageMargins left="0.23622047244094491" right="0.23622047244094491" top="0.74803149606299213" bottom="0.74803149606299213" header="0.31496062992125984" footer="0.31496062992125984"/>
  <pageSetup paperSize="9" scale="75" fitToHeight="0" orientation="portrait" horizontalDpi="4294967294" verticalDpi="4294967294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Template</vt:lpstr>
      <vt:lpstr>01</vt:lpstr>
    </vt:vector>
  </TitlesOfParts>
  <Company>Stadt Erlangen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</dc:creator>
  <cp:lastModifiedBy>Sandra Dening</cp:lastModifiedBy>
  <cp:lastPrinted>2019-09-03T06:21:12Z</cp:lastPrinted>
  <dcterms:created xsi:type="dcterms:W3CDTF">2000-10-24T10:46:30Z</dcterms:created>
  <dcterms:modified xsi:type="dcterms:W3CDTF">2025-06-17T21:11:39Z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S_LastOpenTime">
    <vt:lpwstr>3/7/2017 1:14:48 PM</vt:lpwstr>
  </property>
  <property fmtid="{D5CDD505-2E9C-101B-9397-08002B2CF9AE}" pid="3" name="OS_LastOpenUser">
    <vt:lpwstr>EHF</vt:lpwstr>
  </property>
  <property fmtid="{D5CDD505-2E9C-101B-9397-08002B2CF9AE}" pid="4" name="os_autosavelastposition11918259">
    <vt:lpwstr>03|11|13</vt:lpwstr>
  </property>
  <property fmtid="{D5CDD505-2E9C-101B-9397-08002B2CF9AE}" pid="5" name="OS_LastSave">
    <vt:lpwstr>3/7/2017 1:09:11 PM</vt:lpwstr>
  </property>
  <property fmtid="{D5CDD505-2E9C-101B-9397-08002B2CF9AE}" pid="6" name="OS_LastSaveUser">
    <vt:lpwstr>EHF</vt:lpwstr>
  </property>
  <property fmtid="{D5CDD505-2E9C-101B-9397-08002B2CF9AE}" pid="7" name="OS_LastDocumentSaved">
    <vt:bool>false</vt:bool>
  </property>
  <property fmtid="{D5CDD505-2E9C-101B-9397-08002B2CF9AE}" pid="8" name="MustSave">
    <vt:bool>false</vt:bool>
  </property>
</Properties>
</file>